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iv\new 2026\myWebsite\src\data\"/>
    </mc:Choice>
  </mc:AlternateContent>
  <xr:revisionPtr revIDLastSave="0" documentId="13_ncr:1_{176DF329-1D18-4E42-A11C-FFEF8C24E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3" r:id="rId1"/>
    <sheet name="2024" sheetId="4" r:id="rId2"/>
    <sheet name="2023" sheetId="5" r:id="rId3"/>
  </sheets>
  <definedNames>
    <definedName name="_xlnm._FilterDatabase" localSheetId="0" hidden="1">'2025'!#REF!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4" l="1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I2" i="4"/>
  <c r="F2" i="4"/>
  <c r="F239" i="3"/>
  <c r="F238" i="3"/>
  <c r="E237" i="3"/>
  <c r="F237" i="3" s="1"/>
  <c r="E236" i="3"/>
  <c r="F236" i="3" s="1"/>
  <c r="E235" i="3"/>
  <c r="F235" i="3" s="1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4" i="3"/>
  <c r="F83" i="3"/>
  <c r="F82" i="3"/>
  <c r="F81" i="3"/>
  <c r="F80" i="3"/>
  <c r="F79" i="3"/>
  <c r="F78" i="3"/>
  <c r="F77" i="3"/>
  <c r="F75" i="3"/>
  <c r="F74" i="3"/>
  <c r="F73" i="3"/>
  <c r="F72" i="3"/>
  <c r="F71" i="3"/>
  <c r="F70" i="3"/>
  <c r="F69" i="3"/>
  <c r="F67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2" i="3"/>
  <c r="F2" i="3" s="1"/>
  <c r="I6" i="4" l="1"/>
  <c r="J6" i="4" s="1"/>
  <c r="I3" i="4"/>
  <c r="J3" i="4" s="1"/>
  <c r="I5" i="4"/>
  <c r="J5" i="4" s="1"/>
  <c r="I4" i="4"/>
  <c r="J4" i="4" s="1"/>
  <c r="I7" i="4"/>
  <c r="I10" i="4" s="1"/>
  <c r="F242" i="3"/>
</calcChain>
</file>

<file path=xl/sharedStrings.xml><?xml version="1.0" encoding="utf-8"?>
<sst xmlns="http://schemas.openxmlformats.org/spreadsheetml/2006/main" count="749" uniqueCount="712">
  <si>
    <t>Date</t>
  </si>
  <si>
    <t>Script</t>
  </si>
  <si>
    <t>Stockedge Link</t>
  </si>
  <si>
    <t>% Moves</t>
  </si>
  <si>
    <t>https://in.tradingview.com/chart/INFY/mUfqwmgC-Infosys-Supply-Demand-Zone/</t>
  </si>
  <si>
    <t>Total</t>
  </si>
  <si>
    <t>&gt;=20%</t>
  </si>
  <si>
    <t>PCBL</t>
  </si>
  <si>
    <t>&gt;=40%</t>
  </si>
  <si>
    <t>&gt;=50%</t>
  </si>
  <si>
    <t>AdaniEnt</t>
  </si>
  <si>
    <t>&gt;=100%</t>
  </si>
  <si>
    <t>&lt;=0%</t>
  </si>
  <si>
    <t>PFC</t>
  </si>
  <si>
    <t>Win Rate</t>
  </si>
  <si>
    <t>LT</t>
  </si>
  <si>
    <t>SJVN</t>
  </si>
  <si>
    <t>Glenmark</t>
  </si>
  <si>
    <t>https://in.tradingview.com/chart/GLENMARK/U51Amfmt-Glenmark/</t>
  </si>
  <si>
    <t>Netweb</t>
  </si>
  <si>
    <t>HCLTECH</t>
  </si>
  <si>
    <t>Infy</t>
  </si>
  <si>
    <t>https://in.tradingview.com/chart/INFY/P8Ep7BNZ-INFY/</t>
  </si>
  <si>
    <t>MPHASIS</t>
  </si>
  <si>
    <t>ITBESS</t>
  </si>
  <si>
    <t>LTIM</t>
  </si>
  <si>
    <t>https://in.tradingview.com/chart/LTIM/VdFytts0-LTIMINDTREE/</t>
  </si>
  <si>
    <t>Bharatforge</t>
  </si>
  <si>
    <t>RRKABEL</t>
  </si>
  <si>
    <t>https://in.tradingview.com/chart/CHENNPETRO/v9E4XFZd-ChennaiPetro/</t>
  </si>
  <si>
    <t>CDSL</t>
  </si>
  <si>
    <t>GESHIP</t>
  </si>
  <si>
    <t>https://in.tradingview.com/chart/GESHIP/V8qNI00C-GESHIP/</t>
  </si>
  <si>
    <t>Dixon</t>
  </si>
  <si>
    <t>CGPOWER</t>
  </si>
  <si>
    <t>https://in.tradingview.com/chart/CGPOWER/jnRxtx16-CGPOWER-Supply-and-Demand-Zone/</t>
  </si>
  <si>
    <t>Mazdock</t>
  </si>
  <si>
    <t>https://in.tradingview.com/chart/THERMAX/N34Z55mq-Thermax/</t>
  </si>
  <si>
    <t>Nifty</t>
  </si>
  <si>
    <t>Indigo</t>
  </si>
  <si>
    <t>SRF</t>
  </si>
  <si>
    <t>https://in.tradingview.com/chart/SRF/6G0FUp0D-SRF-Supply-Demand-Zone/</t>
  </si>
  <si>
    <t>CHOLAFIN</t>
  </si>
  <si>
    <t>https://in.tradingview.com/chart/CHOLAFIN/fjofxoIg-CHALAFIN-supply-and-demand-zone/</t>
  </si>
  <si>
    <t>NSE:Pennar</t>
  </si>
  <si>
    <t>https://social.stockedge.com/posts/4405954e-39df-4a0d-bd19-3ce81bed0ea0</t>
  </si>
  <si>
    <t>Apollo Micro System</t>
  </si>
  <si>
    <t>https://social.stockedge.com/posts/ca6e9193-550b-4c53-9020-08d6ea0e05fe</t>
  </si>
  <si>
    <t>NSE:ACE</t>
  </si>
  <si>
    <t>https://social.stockedge.com/posts/f5091f53-8b2a-4b85-ba68-d646e12bbc52</t>
  </si>
  <si>
    <t>NSE:Supriya</t>
  </si>
  <si>
    <t>https://social.stockedge.com/posts/646d471f-a55a-41ad-9515-e0f9e2231bee</t>
  </si>
  <si>
    <t>NSE:JSWHOLDING</t>
  </si>
  <si>
    <t>https://social.stockedge.com/posts/b0055040-cf23-4603-a936-ef680ae52d1c</t>
  </si>
  <si>
    <t>NSE:Kalyan Jewellers</t>
  </si>
  <si>
    <t>https://social.stockedge.com/posts/e789c6e0-f9ff-4e79-8ea9-36ce96c87b6c</t>
  </si>
  <si>
    <t>NSE:Vijay Diagnostic</t>
  </si>
  <si>
    <t>https://social.stockedge.com/posts/d2b69628-ad5e-4875-8759-f6fc5ed204be</t>
  </si>
  <si>
    <t>NSE:HPL</t>
  </si>
  <si>
    <t>https://social.stockedge.com/posts/e9f3b418-4a0b-4902-b22e-c22f0e1b2c76</t>
  </si>
  <si>
    <t>NSE:Technoe</t>
  </si>
  <si>
    <t>https://social.stockedge.com/posts/c054db45-ca16-4166-a1cd-34592ea7510b</t>
  </si>
  <si>
    <t>NSE:TITAN</t>
  </si>
  <si>
    <t>https://social.stockedge.com/stock/titan-company/1409/posts</t>
  </si>
  <si>
    <t>Kaynes</t>
  </si>
  <si>
    <t>https://in.tradingview.com/chart/KAYNES/Q8c8yXn8-KAYNES/</t>
  </si>
  <si>
    <t>NSE:UPL</t>
  </si>
  <si>
    <t>https://in.tradingview.com/chart/UPL/oqyRDwri-UPL/</t>
  </si>
  <si>
    <t>ABCAPITAL</t>
  </si>
  <si>
    <t>https://social.stockedge.com/posts/e764f4d4-66df-4cb2-9020-244d328bcd59</t>
  </si>
  <si>
    <t>https://social.stockedge.com/posts/cf5d6262-f5f4-4610-9a1e-26cf8504757a</t>
  </si>
  <si>
    <t>Lemontree</t>
  </si>
  <si>
    <t>https://social.stockedge.com/posts/e8c641d1-b2db-4959-8152-6a60dec70716</t>
  </si>
  <si>
    <t>NSE:KFINTECH</t>
  </si>
  <si>
    <t>https://www.tradingview.com/chart/KFINTECH/5rruA1hx-KFINTECH/</t>
  </si>
  <si>
    <t>NSE:GodfryPhillip</t>
  </si>
  <si>
    <t>https://www.tradingview.com/chart/GODFRYPHLP/vLUQo5mD-GODFRYPHLP/</t>
  </si>
  <si>
    <t>kfintech</t>
  </si>
  <si>
    <t>https://in.tradingview.com/chart/KFINTECH/5rruA1hx-KFINTECH/</t>
  </si>
  <si>
    <t>Chennai Petro</t>
  </si>
  <si>
    <t>Aegis</t>
  </si>
  <si>
    <t>https://in.tradingview.com/chart/AEGISLOG/gEcN9Wwn-Aegis/</t>
  </si>
  <si>
    <t>HBL ENGINEERING</t>
  </si>
  <si>
    <t>https://social.stockedge.com/posts/1b6d182a-2091-4067-ac94-3afe1445ce33</t>
  </si>
  <si>
    <t>https://in.tradingview.com/chart/NIFTY/uRiiSuVf-Nifty-50/</t>
  </si>
  <si>
    <t>PARADEEP</t>
  </si>
  <si>
    <t>https://social.stockedge.com/posts/3213d05e-edab-4066-9b64-5a5731f9ef8d</t>
  </si>
  <si>
    <t>Icicibank</t>
  </si>
  <si>
    <t>https://in.tradingview.com/chart/ICICIBANK/bW1eWy2q-ICICIBANK/</t>
  </si>
  <si>
    <t>NSE:AUBANK</t>
  </si>
  <si>
    <t>https://www.tradingview.com/chart/AUBANK/VjPDM9yR-AUBANK/</t>
  </si>
  <si>
    <t>NSE:Techno</t>
  </si>
  <si>
    <t>https://www.tradingview.com/chart/TECHNOE/qPUHmFlD-Techno/</t>
  </si>
  <si>
    <t>NSE:PFC</t>
  </si>
  <si>
    <t>https://www.tradingview.com/chart/PFC/TLNW3oU0-PFC/</t>
  </si>
  <si>
    <t>NSE: #NHPC</t>
  </si>
  <si>
    <t>https://in.tradingview.com/chart/NHPC/nKiZ0Xh1-NHPC/</t>
  </si>
  <si>
    <t>NSE:JKPAPER</t>
  </si>
  <si>
    <t>https://in.tradingview.com/chart/JKPAPER/priIaGmO-JKPAPER/</t>
  </si>
  <si>
    <t>IDFCFIRSTBANK</t>
  </si>
  <si>
    <t>https://in.tradingview.com/chart/IDFCFIRSTB/E8jW1u8W-IDFCFIRSTBANK/</t>
  </si>
  <si>
    <t>MOTILALOFS</t>
  </si>
  <si>
    <t>https://in.tradingview.com/chart/MOTILALOFS/djMkzLyg-Motilalofs/</t>
  </si>
  <si>
    <t>IDFCFIRST</t>
  </si>
  <si>
    <t>PREMEXPLN</t>
  </si>
  <si>
    <t>https://social.stockedge.com/posts/8845474d-07bc-42c0-b294-5faa90ac402c</t>
  </si>
  <si>
    <t>Tilaknagar</t>
  </si>
  <si>
    <t>https://social.stockedge.com/posts/8d61abab-4876-4ef1-8925-bb477537770c</t>
  </si>
  <si>
    <t>https://in.tradingview.com/chart/LT/X8SCFSjv-LT/</t>
  </si>
  <si>
    <t>GEVERNOVA</t>
  </si>
  <si>
    <t>https://in.tradingview.com/chart/GVT&amp;D/g07NHrxj-GE-VERNOVA/</t>
  </si>
  <si>
    <t>TAJGVK</t>
  </si>
  <si>
    <t>https://social.stockedge.com/posts/28a84c3b-8c11-4593-a51f-c92e66c82bbb</t>
  </si>
  <si>
    <t>SCI</t>
  </si>
  <si>
    <t>https://in.tradingview.com/chart/SCI/8QcEGK0M-SCI-supplyanddemand-zone/</t>
  </si>
  <si>
    <t>DMART</t>
  </si>
  <si>
    <t>https://in.tradingview.com/chart/DMART/b0JycjfX-DMART-supplyanddemand-zone/</t>
  </si>
  <si>
    <t>BHARTIAIRTEL</t>
  </si>
  <si>
    <t>https://in.tradingview.com/chart/BHARTIARTL/9mIQ7WG4-BhartiAirtel/</t>
  </si>
  <si>
    <t>PNB</t>
  </si>
  <si>
    <t>https://in.tradingview.com/chart/PNB/I5nmQnuh-PNB/</t>
  </si>
  <si>
    <t>CaplinPoint</t>
  </si>
  <si>
    <t>https://social.stockedge.com/posts/8dabd2ce-6b4e-4939-9ddf-4e34831c1ea8</t>
  </si>
  <si>
    <t>AXISBANK</t>
  </si>
  <si>
    <t>https://social.stockedge.com/posts/080a8866-14db-4da2-8d2f-b2a1ea7b1c2c</t>
  </si>
  <si>
    <t>https://social.stockedge.com/posts/dcae9f01-6297-4950-96fb-682d717c02bc</t>
  </si>
  <si>
    <t>Biocon</t>
  </si>
  <si>
    <t>https://in.tradingview.com/chart/BIOCON/O46YzSiM-BIOCON/</t>
  </si>
  <si>
    <t>NSE: CGPOWER</t>
  </si>
  <si>
    <t>https://social.stockedge.com/posts/a571dd30-b62e-4d39-ab9b-38b84ea1c416</t>
  </si>
  <si>
    <t>SHRIPISTON</t>
  </si>
  <si>
    <t>https://in.tradingview.com/chart/SHRIPISTON/FYWuYi67-SHRIPISTON/</t>
  </si>
  <si>
    <t>CumminsIndia</t>
  </si>
  <si>
    <t>https://social.stockedge.com/posts/fe388820-120f-4a35-a193-f00ae788cd14</t>
  </si>
  <si>
    <t>Hindunilever</t>
  </si>
  <si>
    <t>https://social.stockedge.com/posts/8fcebe4b-5285-44ec-ab42-146e76c24fd8</t>
  </si>
  <si>
    <t>PGEL</t>
  </si>
  <si>
    <t>https://in.tradingview.com/chart/PGEL/B2AZZLuX-PGEL/</t>
  </si>
  <si>
    <t>Heromoto</t>
  </si>
  <si>
    <t>https://social.stockedge.com/posts/176e095a-4abb-4207-8553-73df8a6fade1</t>
  </si>
  <si>
    <t>ASHAPURMIN</t>
  </si>
  <si>
    <t>https://in.tradingview.com/chart/ASHAPURMIN/ZRefVvti-ASHAPURMIN/</t>
  </si>
  <si>
    <t>ACUTAAS</t>
  </si>
  <si>
    <t>https://in.tradingview.com/chart/ACUTAAS/fc03fL26-ACUTAAS/</t>
  </si>
  <si>
    <t>TATA COMMUNICATION</t>
  </si>
  <si>
    <t>https://in.tradingview.com/chart/TATACOMM/FhTK4U0e-TATACOM/</t>
  </si>
  <si>
    <t>21 Jully 2025</t>
  </si>
  <si>
    <t>JSL</t>
  </si>
  <si>
    <t>https://in.tradingview.com/chart/JSL/1u6Pg9mf-JSL/</t>
  </si>
  <si>
    <t>M&amp;M</t>
  </si>
  <si>
    <t>https://social.stockedge.com/posts/9afe079a-4007-42ed-8fe6-29965fd81e5f</t>
  </si>
  <si>
    <t>TATACHEMICAL</t>
  </si>
  <si>
    <t>https://social.stockedge.com/posts/6a8e9617-c83e-4c96-8aec-1bb84730718b</t>
  </si>
  <si>
    <t>Zomato</t>
  </si>
  <si>
    <t>https://in.tradingview.com/chart/ETERNAL/vr6fgfKn-ETERNAL/</t>
  </si>
  <si>
    <t>POCL</t>
  </si>
  <si>
    <t>https://social.stockedge.com/posts/086843ba-cdc3-4c3c-b90f-56089fb3a058</t>
  </si>
  <si>
    <t>NMDC</t>
  </si>
  <si>
    <t>https://in.tradingview.com/chart/NMDC/1eJvmwRn-NMDC/</t>
  </si>
  <si>
    <t>Pricol</t>
  </si>
  <si>
    <t>https://in.tradingview.com/chart/PRICOLLTD/Vd2ymetx-PRICOL/</t>
  </si>
  <si>
    <t>TVSMOTORS</t>
  </si>
  <si>
    <t>https://social.stockedge.com/posts/50d92e8e-5387-4eed-ada2-d5a8c395f766</t>
  </si>
  <si>
    <t>https://in.tradingview.com/chart/INDIGO/eTloycNG-Indigo/</t>
  </si>
  <si>
    <t>Kernex</t>
  </si>
  <si>
    <t>https://in.tradingview.com/chart/KERNEX/5R0PKAOG-Kernex-CMP-1085-10-Aug-2025/</t>
  </si>
  <si>
    <t>Jayaswal Neco</t>
  </si>
  <si>
    <t>https://social.stockedge.com/posts/68f01f3a-c4fd-401a-9607-b85d3fce6e54</t>
  </si>
  <si>
    <t>ASTERDM</t>
  </si>
  <si>
    <t>https://in.tradingview.com/chart/ASTERDM/6uWdtb1E-Aster-DM/</t>
  </si>
  <si>
    <t>LAURASLAB</t>
  </si>
  <si>
    <t>https://in.tradingview.com/chart/LAURUSLABS/ImTbOa45-LAURASLAB/</t>
  </si>
  <si>
    <t>https://social.stockedge.com/posts/310134f9-b704-4200-8bbc-985cb98ec0ed</t>
  </si>
  <si>
    <t>TITAN</t>
  </si>
  <si>
    <r>
      <rPr>
        <b/>
        <u/>
        <sz val="10"/>
        <color rgb="FF1155CC"/>
        <rFont val="Arial"/>
      </rPr>
      <t>https://in.tradingview.com/chart/TITAN/6FAKOEBK-TITAN-supplyanddemand-zone/</t>
    </r>
    <r>
      <rPr>
        <b/>
        <sz val="10"/>
        <color theme="1"/>
        <rFont val="Arial"/>
      </rPr>
      <t>`</t>
    </r>
  </si>
  <si>
    <t>SHAILY</t>
  </si>
  <si>
    <t>https://x.com/sm_harmonic/status/1962031671404011972</t>
  </si>
  <si>
    <t>National Aluminum</t>
  </si>
  <si>
    <t>https://social.stockedge.com/posts/484ed683-25ae-4e0d-979a-ad44da12d1e2</t>
  </si>
  <si>
    <t>Intellect</t>
  </si>
  <si>
    <t>https://in.tradingview.com/chart/INTELLECT/qYVoLAM8-Intellect/</t>
  </si>
  <si>
    <t>Axisbank</t>
  </si>
  <si>
    <t>https://social.stockedge.com/posts/13eb13ed-6901-4e62-8be8-4d7ca64f5dd5</t>
  </si>
  <si>
    <t>Bajfinance</t>
  </si>
  <si>
    <t>https://social.stockedge.com/posts/dcb72538-641d-4c6c-b3e7-25b5bac191a3</t>
  </si>
  <si>
    <t>BEML</t>
  </si>
  <si>
    <t>https://social.stockedge.com/posts/c5dd0525-7543-4f86-ae70-d8d8e94b4a47</t>
  </si>
  <si>
    <t>Hindcopeer</t>
  </si>
  <si>
    <t>https://social.stockedge.com/posts/5464b62c-2931-474d-a020-2c53ed0387a9</t>
  </si>
  <si>
    <t>13 Sel</t>
  </si>
  <si>
    <t>Granuel</t>
  </si>
  <si>
    <t>https://in.tradingview.com/chart/GRANULES/TPCpD9rF-GRANUEL/</t>
  </si>
  <si>
    <t>KEC</t>
  </si>
  <si>
    <t>https://in.tradingview.com/chart/KEC/FfdmYYfe-KEC/</t>
  </si>
  <si>
    <t>MOTILALOSWAL</t>
  </si>
  <si>
    <t>BhartiAirtel</t>
  </si>
  <si>
    <t>https://in.tradingview.com/chart/BHARTIARTL/yJu8C2hz-BHARTIAIRTEL/</t>
  </si>
  <si>
    <t>CholaFin</t>
  </si>
  <si>
    <t>https://in.tradingview.com/chart/CHOLAFIN/qa8S3i7g-CHOLAFIN/</t>
  </si>
  <si>
    <t>Bancoindia</t>
  </si>
  <si>
    <t>https://in.tradingview.com/chart/BANCOINDIA/h8csbYfl-Banco-in-alltimehighzone/</t>
  </si>
  <si>
    <t>JSWINFRA</t>
  </si>
  <si>
    <t>https://in.tradingview.com/chart/JSWINFRA/qDg9Rc7d-JSWINFRA/</t>
  </si>
  <si>
    <t>ITDCemen</t>
  </si>
  <si>
    <t>https://in.tradingview.com/chart/ITDCEM/M0Xsd72B-ITD-CEMENTATION/</t>
  </si>
  <si>
    <t>https://in.tradingview.com/chart/PREMEXPLN/SqVpFdXq-PREMEXPLN-next-harmonic-patterns/</t>
  </si>
  <si>
    <t>TATACONSUMER</t>
  </si>
  <si>
    <t>https://social.stockedge.com/posts/8e12ea11-729b-4bce-a1e4-d4ee27b327ea</t>
  </si>
  <si>
    <t>CAMS</t>
  </si>
  <si>
    <t>https://in.tradingview.com/chart/CAMS/8yOELM1p-CAMS/</t>
  </si>
  <si>
    <t>Anantraj</t>
  </si>
  <si>
    <t>https://in.tradingview.com/chart/ANANTRAJ/4NCujspf-ANANTRAJ/</t>
  </si>
  <si>
    <t>Redignton</t>
  </si>
  <si>
    <t>https://in.tradingview.com/chart/REDINGTON/GBLS2fC0-Redington/</t>
  </si>
  <si>
    <t>https://in.tradingview.com/chart/PCBL/P7O9HFmn-PCBL/</t>
  </si>
  <si>
    <t>AdaniPower</t>
  </si>
  <si>
    <t>https://in.tradingview.com/chart/ADANIPOWER/qnvzxM8B-Adanipower/</t>
  </si>
  <si>
    <t>https://in.tradingview.com/chart/NIFTY/yed0ZouU-Nifty-updated-supplyanddemand-zone/</t>
  </si>
  <si>
    <t>https://in.tradingview.com/chart/ADANIENT/foC6Nh6O-ADANIENT/</t>
  </si>
  <si>
    <t>https://in.tradingview.com/chart/NETWEB/SWpE9L79-NetWeb/</t>
  </si>
  <si>
    <t>#SWAN Corp</t>
  </si>
  <si>
    <t>https://in.tradingview.com/chart/SWANCORP/Fmv0qdM1-SWAN-Corp/</t>
  </si>
  <si>
    <t xml:space="preserve">SBFC Finance </t>
  </si>
  <si>
    <t>https://in.tradingview.com/chart/SBFC/VZYEG8Va-SBFC-FINANCE/</t>
  </si>
  <si>
    <t>Hudco</t>
  </si>
  <si>
    <t>https://in.tradingview.com/chart/HUDCO/TdVmWEsc-HUDCO/</t>
  </si>
  <si>
    <t>https://www.tradingview.com/chart/CHOLAFIN/fjofxoIg-CHALAFIN-supply-and-demand-zone/</t>
  </si>
  <si>
    <t>SBFC</t>
  </si>
  <si>
    <t>https://www.tradingview.com/chart/SBFC/VZYEG8Va-SBFC-FINANCE/</t>
  </si>
  <si>
    <t>MRF</t>
  </si>
  <si>
    <t>https://www.tradingview.com/chart/MRF/6eFNPVEz-MRF/</t>
  </si>
  <si>
    <t>ApolloTyres</t>
  </si>
  <si>
    <r>
      <rPr>
        <u/>
        <sz val="10"/>
        <color rgb="FF1155CC"/>
        <rFont val="Arial"/>
      </rPr>
      <t>https://www.tradingview.com/chart/APOLLOTYRE/dKuVyp3I-ApolloTyres/</t>
    </r>
  </si>
  <si>
    <t>SHREEPUSHKAr</t>
  </si>
  <si>
    <t>https://www.tradingview.com/chart/SHREEPUSHK/jxKZI2Ag-SHREEPUSHKAR/</t>
  </si>
  <si>
    <t>BankNifty</t>
  </si>
  <si>
    <t>https://in.tradingview.com/chart/BANKNIFTY/0D7FsXs3-Banknifty/</t>
  </si>
  <si>
    <t>AGI</t>
  </si>
  <si>
    <t>https://in.tradingview.com/chart/AGI/NVpXbmdv-AGI/</t>
  </si>
  <si>
    <t>LUMAX</t>
  </si>
  <si>
    <t>https://in.tradingview.com/chart/LUMAXTECH/x043UTlV-LUMAXTECH/</t>
  </si>
  <si>
    <t>tatainvestment</t>
  </si>
  <si>
    <t>https://social.stockedge.com/posts/4481f74d-68eb-4b6e-890f-8bb12911f817</t>
  </si>
  <si>
    <t>https://in.tradingview.com/chart/SCI/u0LSzvoU-SCI/</t>
  </si>
  <si>
    <t>TDPOWERSYSTEM</t>
  </si>
  <si>
    <t>https://social.stockedge.com/posts/5eee6f80-3c23-4569-8b74-d9bbe0a3d0a6</t>
  </si>
  <si>
    <t>ANURAS</t>
  </si>
  <si>
    <t>https://in.tradingview.com/chart/ANURAS/VelYbjrY-ANURAS/</t>
  </si>
  <si>
    <t>KIOCL</t>
  </si>
  <si>
    <t>https://in.tradingview.com/chart/KIOCL/EOnhGWWK-KIOCL-Harmonic/</t>
  </si>
  <si>
    <t>Kotakbank</t>
  </si>
  <si>
    <t>https://in.tradingview.com/chart/KOTAKBANK/36fd26nj-KOTAKBANK/</t>
  </si>
  <si>
    <t>SANDUMA</t>
  </si>
  <si>
    <t>https://in.tradingview.com/chart/SANDUMA/5WFxSX8D-SANDUM/</t>
  </si>
  <si>
    <t>Mobik</t>
  </si>
  <si>
    <t>https://in.tradingview.com/chart/MOBIKWIK/jI9X1GoU-MOBIK/</t>
  </si>
  <si>
    <t>https://in.tradingview.com/chart/AEGISLOG/ff3om5Fw-Aegis/</t>
  </si>
  <si>
    <t>PAYTM</t>
  </si>
  <si>
    <t>https://in.tradingview.com/chart/PAYTM/weB4WUKN-Paytm/</t>
  </si>
  <si>
    <t>SHRIRAMFINANCE</t>
  </si>
  <si>
    <t>https://in.tradingview.com/chart/SHRIRAMFIN/BAbnUbl5-SHRIRAMFINANCE/</t>
  </si>
  <si>
    <t>charlet</t>
  </si>
  <si>
    <t>https://in.tradingview.com/chart/CHALET/sGgDbGUi-CHALET/</t>
  </si>
  <si>
    <t>maruti</t>
  </si>
  <si>
    <t>https://in.tradingview.com/chart/MARUTI/36zwJ1ue-Maruti/</t>
  </si>
  <si>
    <t>avalon</t>
  </si>
  <si>
    <t>https://in.tradingview.com/chart/AVALON/NfJJU7ei-AVALON/</t>
  </si>
  <si>
    <t>nyka</t>
  </si>
  <si>
    <t>https://in.tradingview.com/chart/NYKAA/gZAmRXsY-NYKAA/</t>
  </si>
  <si>
    <t>eternal</t>
  </si>
  <si>
    <t>orissa</t>
  </si>
  <si>
    <t>https://in.tradingview.com/chart/ORISSAMINE/1FLWtIP2-ORISSAMINS/</t>
  </si>
  <si>
    <t>NH</t>
  </si>
  <si>
    <t>https://in.tradingview.com/chart/NH/pCwg1aTs-NH/</t>
  </si>
  <si>
    <t>National Aluminium</t>
  </si>
  <si>
    <t>https://in.tradingview.com/chart/NATIONALUM/eeztmcgM-National-Aluminium/</t>
  </si>
  <si>
    <t>#GVT&amp;D</t>
  </si>
  <si>
    <t>https://in.tradingview.com/chart/GVT&amp;D/kSUYExfB-GVT-D/</t>
  </si>
  <si>
    <t>Prajind</t>
  </si>
  <si>
    <t>https://in.tradingview.com/chart/PRAJIND/YD0hcawV-PRAJIND/</t>
  </si>
  <si>
    <t>#MOSCHIP</t>
  </si>
  <si>
    <t>https://in.tradingview.com/chart/MOSCHIP/46rUQbwq-MOSCHIP/</t>
  </si>
  <si>
    <t>#GRSE</t>
  </si>
  <si>
    <t>https://in.tradingview.com/chart/GRSE/jN9cT3nH-GRSE/</t>
  </si>
  <si>
    <t>https://in.tradingview.com/chart/PARADEEP/fBsnzOGm-PARADEEP/</t>
  </si>
  <si>
    <t>#IDEA</t>
  </si>
  <si>
    <t>https://in.tradingview.com/chart/IDEA/ZWoT8K82-IDEA/</t>
  </si>
  <si>
    <t>RHIM</t>
  </si>
  <si>
    <t>https://in.tradingview.com/chart/RHIM/u7f9V6sk-RHIM/</t>
  </si>
  <si>
    <t>EIMCOELECO</t>
  </si>
  <si>
    <t>https://in.tradingview.com/chart/EIMCOELECO/9mHeRngE-EIMCO/</t>
  </si>
  <si>
    <t>ACE</t>
  </si>
  <si>
    <t>https://in.tradingview.com/chart/ACE/SYsfQ7ga-ACE/</t>
  </si>
  <si>
    <t>Jiofinance</t>
  </si>
  <si>
    <t>https://in.tradingview.com/chart/JIOFIN/Cm36pqsa-JIOFINANCE/</t>
  </si>
  <si>
    <t>Birlacorp</t>
  </si>
  <si>
    <t>https://in.tradingview.com/chart/BIRLACORPN/QhY27cBQ-Birla-Corp/</t>
  </si>
  <si>
    <t>tilaknagar</t>
  </si>
  <si>
    <t>https://in.tradingview.com/chart/TI/xnxng0x1-TILAKNAGAR/</t>
  </si>
  <si>
    <t>Elecon</t>
  </si>
  <si>
    <t>https://in.tradingview.com/chart/ELECON/N15PwvHb-ELECON/</t>
  </si>
  <si>
    <t>GRSE</t>
  </si>
  <si>
    <t>https://in.tradingview.com/chart/GRSE/a6gP7ajj-GRSE/</t>
  </si>
  <si>
    <t>RBLBANK</t>
  </si>
  <si>
    <t>https://in.tradingview.com/chart/RBLBANK/84QqdWb5-RBLBANK/</t>
  </si>
  <si>
    <t>Motilaloswal finance</t>
  </si>
  <si>
    <t>https://in.tradingview.com/chart/MOTILALOFS/Q3VGH7tF-MOTILALOFS/</t>
  </si>
  <si>
    <t>https://in.tradingview.com/chart/GRANULES/hIJ8V3Va-Granules/</t>
  </si>
  <si>
    <t>CNXIT</t>
  </si>
  <si>
    <t>https://in.tradingview.com/chart/CNXIT/LHtLjRbr-CNXIT/</t>
  </si>
  <si>
    <t>BLS</t>
  </si>
  <si>
    <t>https://in.tradingview.com/chart/BLS/kp3WZbCt-BLS/</t>
  </si>
  <si>
    <t>EMRIN</t>
  </si>
  <si>
    <t>https://in.tradingview.com/chart/ENRIN/a8VisiDV-ENRIN/</t>
  </si>
  <si>
    <t>KFINTECH</t>
  </si>
  <si>
    <t>https://in.tradingview.com/chart/KFINTECH/o3nckPJs-KFINTECH/</t>
  </si>
  <si>
    <t>HLEGLAS</t>
  </si>
  <si>
    <t>https://in.tradingview.com/chart/HLEGLAS/ObCTCocI-HLEGLAS/</t>
  </si>
  <si>
    <t>ORIENTTECH</t>
  </si>
  <si>
    <t>https://in.tradingview.com/chart/ORIENTTECH/6SzGnhEb-ORIENTTECH/</t>
  </si>
  <si>
    <t>GMBREW</t>
  </si>
  <si>
    <t>https://in.tradingview.com/chart/GMBREW/9gSCh7IP-GMBREW/</t>
  </si>
  <si>
    <t>MAPMYINDIA</t>
  </si>
  <si>
    <t>https://in.tradingview.com/chart/MAPMYINDIA/nGLJPnUM-MAPMYINDIA/</t>
  </si>
  <si>
    <t>ABSAMC</t>
  </si>
  <si>
    <t>https://in.tradingview.com/chart/ABSLAMC/nOyi16es-ABSLAMC/</t>
  </si>
  <si>
    <t>SEAMEC</t>
  </si>
  <si>
    <t>https://in.tradingview.com/chart/SEAMECLTD/Ce4BqrZL-SEAMECL/</t>
  </si>
  <si>
    <t>Corborundum</t>
  </si>
  <si>
    <t>https://in.tradingview.com/chart/CARBORUNIV/1EUy7sTM-Carborundum/</t>
  </si>
  <si>
    <t>GODFRYPHLP</t>
  </si>
  <si>
    <t>https://in.tradingview.com/chart/GODFRYPHLP/V7LHI1Ns-GODFRYPHLP/</t>
  </si>
  <si>
    <t>Adani Port</t>
  </si>
  <si>
    <t>https://in.tradingview.com/chart/ADANIPORTS/LzBvyTEw-Adaniports/</t>
  </si>
  <si>
    <t>Adani Power</t>
  </si>
  <si>
    <t>https://in.tradingview.com/chart/ADANIPOWER/TA3Ovvp5-Adanipower/</t>
  </si>
  <si>
    <t>HDFCAMAC</t>
  </si>
  <si>
    <t>https://in.tradingview.com/chart/HDFCAMC/7fvjBKHH-HDFCAMC/</t>
  </si>
  <si>
    <t>AsterDM</t>
  </si>
  <si>
    <t>https://in.tradingview.com/chart/ASTERDM/MEXf9r0P-Aster-DM/</t>
  </si>
  <si>
    <t>#DCBBNAK</t>
  </si>
  <si>
    <t>https://in.tradingview.com/chart/DCBBANK/QYe5Kle9-DCBBNAK/</t>
  </si>
  <si>
    <t>#TATAINVESTMENT</t>
  </si>
  <si>
    <t>https://in.tradingview.com/chart/TATAINVEST/PXMeDxQo-TATAINVESTMENT/</t>
  </si>
  <si>
    <t>GARUDA</t>
  </si>
  <si>
    <t>https://in.tradingview.com/chart/GARUDA/DBJvSb6j-GARUDA/</t>
  </si>
  <si>
    <t>https://in.tradingview.com/chart/BHARATFORG/wGFyfP5g-BHARATFORGE/</t>
  </si>
  <si>
    <t>https://social.stockedge.com/posts/fb39e6b7-2830-4e2f-bb3f-e67cec622edd</t>
  </si>
  <si>
    <t>KPRMILLS</t>
  </si>
  <si>
    <t>https://in.tradingview.com/chart/KPRMILL/ESNW6Ky4-KPRMILLS/</t>
  </si>
  <si>
    <t>EMIL</t>
  </si>
  <si>
    <t>https://in.tradingview.com/chart/EMIL/NxkIc0lo-EMIL/</t>
  </si>
  <si>
    <t>IGL</t>
  </si>
  <si>
    <t>https://in.tradingview.com/chart/IGL/6mg0kKe1-IGL/</t>
  </si>
  <si>
    <t>ABDL</t>
  </si>
  <si>
    <t>https://in.tradingview.com/chart/ABDL/Ksrb54xL-ABDL/</t>
  </si>
  <si>
    <t>Sagility</t>
  </si>
  <si>
    <t>https://in.tradingview.com/chart/SAGILITY/NBRg1UtD-Sagility/</t>
  </si>
  <si>
    <t>GMRP&amp;UI</t>
  </si>
  <si>
    <t>https://in.tradingview.com/chart/GMRP&amp;UI/DzoVPiUD-GMRP-UI/</t>
  </si>
  <si>
    <t>#IDFCFIRSTBANK</t>
  </si>
  <si>
    <t>https://in.tradingview.com/chart/IDFCFIRSTB/17ewdxaR-IDFCFIRSTBANK/</t>
  </si>
  <si>
    <t>BBTC</t>
  </si>
  <si>
    <t>https://in.tradingview.com/chart/BBTC/TBX7t4Fj-BBTC/</t>
  </si>
  <si>
    <t>#SKYGOLD</t>
  </si>
  <si>
    <t>https://in.tradingview.com/chart/SKYGOLD/rCBFzQGY-SKYGOLD/</t>
  </si>
  <si>
    <t>#OIL</t>
  </si>
  <si>
    <t>https://in.tradingview.com/chart/OIL/FaHh6nXv-OIL/</t>
  </si>
  <si>
    <t>#KPIGREEN</t>
  </si>
  <si>
    <t>https://in.tradingview.com/chart/KPIGREEN/rxOsTYzF-KPIGREEN/</t>
  </si>
  <si>
    <t>GMRAIRPORT</t>
  </si>
  <si>
    <t>https://in.tradingview.com/chart/GMRAIRPORT/56wFsHwg-GMRAIRPORT/</t>
  </si>
  <si>
    <t>#360ONE</t>
  </si>
  <si>
    <t>https://in.tradingview.com/chart/360ONE/Zs9fT8CB-360ONE/</t>
  </si>
  <si>
    <t>#CESC</t>
  </si>
  <si>
    <t>https://in.tradingview.com/chart/CESC/FM5p56oN-CESC/</t>
  </si>
  <si>
    <t>#Thermax</t>
  </si>
  <si>
    <t>industower</t>
  </si>
  <si>
    <t>https://in.tradingview.com/chart/INDUSTOWER/9hUUdRVy-Industower/</t>
  </si>
  <si>
    <t>#IDBI</t>
  </si>
  <si>
    <t>https://in.tradingview.com/chart/IDBI/cuqpj8Cx-idbi/</t>
  </si>
  <si>
    <t>Latentview</t>
  </si>
  <si>
    <t>https://in.tradingview.com/chart/LATENTVIEW/Tz37OGo9-LATENTVIEW/</t>
  </si>
  <si>
    <t>https://in.tradingview.com/chart/INDIGO/YiBzcU1b-Indigo-Harmonic/</t>
  </si>
  <si>
    <t>PARADEP</t>
  </si>
  <si>
    <t>https://in.tradingview.com/chart/PARADEEP/FFE0Hw46-PARADEEP-CMP-162-18-Nov-2025/</t>
  </si>
  <si>
    <t>SquentScientific</t>
  </si>
  <si>
    <t>https://in.tradingview.com/chart/SEQUENT/dUqdxZAm-SEQUENT/</t>
  </si>
  <si>
    <t>Avantiffed</t>
  </si>
  <si>
    <t>https://in.tradingview.com/chart/AVANTIFEED/2taiOWMX-Avantifeed/</t>
  </si>
  <si>
    <t>M&amp;MFinanac</t>
  </si>
  <si>
    <t>https://in.tradingview.com/chart/M&amp;MFIN/NK8jfdUT-M-MFIN/</t>
  </si>
  <si>
    <t>Hdfclife</t>
  </si>
  <si>
    <t>https://in.tradingview.com/chart/HDFCLIFE/ba4zrCYD-HDFCLIFE/</t>
  </si>
  <si>
    <t>INDUSINDBK</t>
  </si>
  <si>
    <t>https://in.tradingview.com/chart/INDUSINDBK/a7je18L2-Indusindbk/</t>
  </si>
  <si>
    <t>https://in.tradingview.com/chart/ITBEES/L4NpfsNv-ITBEES/</t>
  </si>
  <si>
    <t>IKS</t>
  </si>
  <si>
    <t>https://in.tradingview.com/chart/IKS/58CrvD6o-IKS/</t>
  </si>
  <si>
    <t>Gravita</t>
  </si>
  <si>
    <t>https://in.tradingview.com/chart/GRAVITA/0rj8mFFQ-GRAVITA/</t>
  </si>
  <si>
    <t>Actuass</t>
  </si>
  <si>
    <t>https://in.tradingview.com/chart/ACUTAAS/R4mzgZG4-ACUTAAS/</t>
  </si>
  <si>
    <t>Bajaj-Auto</t>
  </si>
  <si>
    <t>https://in.tradingview.com/chart/BAJAJ_AUTO/jI85bLlY-BAJAJAUTO/</t>
  </si>
  <si>
    <t>PHOENIX</t>
  </si>
  <si>
    <t>https://in.tradingview.com/chart/PHOENIXLTD/8vW0vvD4-PHOENIX/</t>
  </si>
  <si>
    <t>https://in.tradingview.com/chart/HCLTECH/AMCyedqf-HCLTECH/</t>
  </si>
  <si>
    <t>https://in.tradingview.com/chart/INDIGO/hU1f1RET-Indigo/</t>
  </si>
  <si>
    <t>PolicyBazaar</t>
  </si>
  <si>
    <t>https://in.tradingview.com/chart/POLICYBZR/drymw4Xh-POLICYBAZAR/</t>
  </si>
  <si>
    <t>Avalon</t>
  </si>
  <si>
    <t>https://in.tradingview.com/chart/AVALON/KCGrElM1-AVALON/</t>
  </si>
  <si>
    <t>https://in.tradingview.com/chart/ACUTAAS/m2z2oKzp-ACUTAAS/</t>
  </si>
  <si>
    <t>SMLMAHINDRA</t>
  </si>
  <si>
    <t>https://in.tradingview.com/chart/SMLMAH/jImu1xK4-SMLISUZU/</t>
  </si>
  <si>
    <t>Senores</t>
  </si>
  <si>
    <t>https://in.tradingview.com/chart/SENORES/zYJNIik8-SENORES/</t>
  </si>
  <si>
    <t>Karur</t>
  </si>
  <si>
    <t>https://in.tradingview.com/chart/KARURVYSYA/6839t9qT-KARUR/</t>
  </si>
  <si>
    <t>Hdfcbank</t>
  </si>
  <si>
    <t>https://in.tradingview.com/chart/HDFCAMC/YVK0qLlp-HDFCAMC/</t>
  </si>
  <si>
    <t>https://in.tradingview.com/chart/PARADEEP/JFs2syg9-PARADEEP/</t>
  </si>
  <si>
    <t>https://in.tradingview.com/chart/RRKABEL/uBLZ3cHo-RRKABEL/</t>
  </si>
  <si>
    <t>BLISGVS</t>
  </si>
  <si>
    <t>https://in.tradingview.com/chart/BLISSGVS/ApFzmzTG-BLISSGVS/</t>
  </si>
  <si>
    <t>WORKHARD</t>
  </si>
  <si>
    <t>https://in.tradingview.com/chart/WOCKPHARMA/gVgE1zZv-WORKHARD/</t>
  </si>
  <si>
    <t>ForceMotor</t>
  </si>
  <si>
    <t>https://in.tradingview.com/chart/FORCEMOT/G7VVUBTd-ForceMotors/</t>
  </si>
  <si>
    <t>BharatForge</t>
  </si>
  <si>
    <t>ApolloMicro</t>
  </si>
  <si>
    <t>https://in.tradingview.com/chart/APOLLO/MenjRnY5-Apollo/</t>
  </si>
  <si>
    <t xml:space="preserve">CSBBANK </t>
  </si>
  <si>
    <t>https://in.tradingview.com/chart/CSBBANK/kVryqmEL-CSBBANK/</t>
  </si>
  <si>
    <t>Ather Energy</t>
  </si>
  <si>
    <t>https://in.tradingview.com/chart/ATHERENERG/wpjVktoF-ATHER-ENERGY/</t>
  </si>
  <si>
    <t>FEDFINA</t>
  </si>
  <si>
    <t>https://in.tradingview.com/chart/FEDFINA/LpigWgRP-FEDFINA/</t>
  </si>
  <si>
    <t>Belrise</t>
  </si>
  <si>
    <t>https://in.tradingview.com/chart/BELRISE/vycDx33U-BELRISE/</t>
  </si>
  <si>
    <t>IRFC</t>
  </si>
  <si>
    <t>https://in.tradingview.com/chart/IRFC/EddVxgMt-IRFC/</t>
  </si>
  <si>
    <t>RVNL</t>
  </si>
  <si>
    <t>https://in.tradingview.com/chart/RVNL/tHV9qobh-RVNL/</t>
  </si>
  <si>
    <t>CoalIndia</t>
  </si>
  <si>
    <t>https://in.tradingview.com/chart/COALINDIA/BR4qISUM-COALINDIA/</t>
  </si>
  <si>
    <t>Vintage Coffee</t>
  </si>
  <si>
    <t>https://in.tradingview.com/chart/VINCOFE/iR0bp1ra-vintage-coffee/</t>
  </si>
  <si>
    <t>RPGLIFE</t>
  </si>
  <si>
    <t>https://in.tradingview.com/chart/RPGLIFE/41u7fOMy-RPGLIFE/</t>
  </si>
  <si>
    <t>PNBHSGFIN</t>
  </si>
  <si>
    <t>https://in.tradingview.com/chart/PNBHOUSING/TbB1PRIu-PNBHSGFIN/</t>
  </si>
  <si>
    <t>Nuvama</t>
  </si>
  <si>
    <t>https://in.tradingview.com/chart/NUVAMA/jyVsyrQ8-NUVAMA/</t>
  </si>
  <si>
    <t>Asian Granito</t>
  </si>
  <si>
    <t>https://in.tradingview.com/chart/ASIANTILES/ISKxwPcJ-ASIANTIL/</t>
  </si>
  <si>
    <t>SMCGLOBAL</t>
  </si>
  <si>
    <t>https://in.tradingview.com/chart/SMCGLOBAL/tL1DUxxy-SMCGLOBAL/</t>
  </si>
  <si>
    <t>TARC</t>
  </si>
  <si>
    <t>https://in.tradingview.com/chart/TARC/bZCT0Eg8-TARC/</t>
  </si>
  <si>
    <t>TDSPOWERSYSTEM</t>
  </si>
  <si>
    <t>https://in.tradingview.com/chart/TDPOWERSYS/mvJd621v-TDSPOWERSYSTEM/</t>
  </si>
  <si>
    <t xml:space="preserve">Eimco </t>
  </si>
  <si>
    <t>https://in.tradingview.com/chart/EIMCOELECO/UFkyQNkZ-EIMCO/</t>
  </si>
  <si>
    <t>https://in.tradingview.com/chart/MAZDOCK/hLReKtDm-MAZDOCK/</t>
  </si>
  <si>
    <t>CMP on Position</t>
  </si>
  <si>
    <t>CMP 7 Oct</t>
  </si>
  <si>
    <t>NSE:TARIL</t>
  </si>
  <si>
    <t>NSE:RAINBOW CHILDREN</t>
  </si>
  <si>
    <t>NSE:MAINKINDPHARMA</t>
  </si>
  <si>
    <t>NSE:POLYMED</t>
  </si>
  <si>
    <t>Closed on D</t>
  </si>
  <si>
    <t>NSE:SBIN</t>
  </si>
  <si>
    <t>NSE:BEML</t>
  </si>
  <si>
    <t>NSE:BIOCON</t>
  </si>
  <si>
    <t>NSE:HINDZIC</t>
  </si>
  <si>
    <t>NSE:KARURVAISYA</t>
  </si>
  <si>
    <t>NSE:SHARDACROP</t>
  </si>
  <si>
    <t>NSE:GarwareTech</t>
  </si>
  <si>
    <t>NSE:Syrma SGS Technology Ltd</t>
  </si>
  <si>
    <t>NSE:Paradeep Phosphates Ltd</t>
  </si>
  <si>
    <t>NSE:PGEL</t>
  </si>
  <si>
    <t>NSE:ASTRAL</t>
  </si>
  <si>
    <t>NSE:HUDCO</t>
  </si>
  <si>
    <t>NSE:AXISBANK</t>
  </si>
  <si>
    <t>NSE:KIRLOSKAR</t>
  </si>
  <si>
    <t>NSE:SHAKTIPUMP</t>
  </si>
  <si>
    <t>NSE:Kirloskar Pneumatic</t>
  </si>
  <si>
    <t>NSE:Lemontree</t>
  </si>
  <si>
    <t>NSE:LT</t>
  </si>
  <si>
    <t>NSE:Aegis</t>
  </si>
  <si>
    <t>NSE:TEJAS</t>
  </si>
  <si>
    <t>NSE:JWL</t>
  </si>
  <si>
    <t>NSE:Titagarh</t>
  </si>
  <si>
    <t>November Fresh  opportunity</t>
  </si>
  <si>
    <t>NSE:Siemens</t>
  </si>
  <si>
    <t>NSE:M&amp;M</t>
  </si>
  <si>
    <t>NSE:TAJ</t>
  </si>
  <si>
    <t>NSE:INDHOTEL</t>
  </si>
  <si>
    <t>NSE:PARAGMILK</t>
  </si>
  <si>
    <t>SL hit</t>
  </si>
  <si>
    <t>NSE:Pix Transmissions Ltd.</t>
  </si>
  <si>
    <t>NSE:KFINTechnology</t>
  </si>
  <si>
    <t>10 Novemeber 2024</t>
  </si>
  <si>
    <t>NSE:BhartiAitel</t>
  </si>
  <si>
    <t>20 Novemeber 2024</t>
  </si>
  <si>
    <t>NSE:EPACK</t>
  </si>
  <si>
    <t>NSE:Zen Tech</t>
  </si>
  <si>
    <t>NSE:AnantRaj</t>
  </si>
  <si>
    <t>NSE:ABB</t>
  </si>
  <si>
    <t>NSE:DrReddy</t>
  </si>
  <si>
    <t>NSE:Reliance</t>
  </si>
  <si>
    <t>NSE:Granules India Ltd</t>
  </si>
  <si>
    <t xml:space="preserve">NSE:Coromandel </t>
  </si>
  <si>
    <t>NSE:Indigo</t>
  </si>
  <si>
    <t>Booked</t>
  </si>
  <si>
    <t>NSE:SUNPHARMA</t>
  </si>
  <si>
    <t>NSE:GLENMARK PHARMA</t>
  </si>
  <si>
    <t>NSE:Biocon</t>
  </si>
  <si>
    <t>NSE:EIchermot</t>
  </si>
  <si>
    <t xml:space="preserve">NSE: SUPRIYA LIFE </t>
  </si>
  <si>
    <t>NSE:Apollo Micro</t>
  </si>
  <si>
    <t>NSE:MGL</t>
  </si>
  <si>
    <t>Year 2023</t>
  </si>
  <si>
    <t>URL</t>
  </si>
  <si>
    <t>Price on chart post</t>
  </si>
  <si>
    <t>April 25-2023</t>
  </si>
  <si>
    <t>Gain %</t>
  </si>
  <si>
    <t>Reliance</t>
  </si>
  <si>
    <r>
      <rPr>
        <u/>
        <sz val="11"/>
        <color rgb="FF1155CC"/>
        <rFont val="Calibri, sans-serif"/>
      </rPr>
      <t>https://social.stockedge.com/posts/a5bfd9d2-567d-40f4-ac57-b3bb9c679f7e</t>
    </r>
  </si>
  <si>
    <r>
      <rPr>
        <u/>
        <sz val="11"/>
        <color rgb="FF1155CC"/>
        <rFont val="Calibri, sans-serif"/>
      </rPr>
      <t>https://social.stockedge.com/posts/b24b6db6-ec5c-459a-a882-dff1a3149da0</t>
    </r>
  </si>
  <si>
    <t>COLPAL</t>
  </si>
  <si>
    <r>
      <rPr>
        <u/>
        <sz val="11"/>
        <color rgb="FF1155CC"/>
        <rFont val="Calibri, sans-serif"/>
      </rPr>
      <t>https://social.stockedge.com/posts/27683db2-343a-4ba1-94cc-b3f9ce114c80</t>
    </r>
  </si>
  <si>
    <t>AsianPaints</t>
  </si>
  <si>
    <r>
      <rPr>
        <u/>
        <sz val="11"/>
        <color rgb="FF1155CC"/>
        <rFont val="Calibri, sans-serif"/>
      </rPr>
      <t>https://social.stockedge.com/posts/ed8155cf-dfb3-4eef-b131-0b3bd8fd84dc</t>
    </r>
  </si>
  <si>
    <r>
      <rPr>
        <u/>
        <sz val="11"/>
        <color rgb="FF1155CC"/>
        <rFont val="Calibri, sans-serif"/>
      </rPr>
      <t>Triveni Engineering</t>
    </r>
  </si>
  <si>
    <r>
      <rPr>
        <u/>
        <sz val="11"/>
        <color rgb="FF1155CC"/>
        <rFont val="Calibri, sans-serif"/>
      </rPr>
      <t>https://social.stockedge.com/posts/85b1c71c-14db-483c-9561-f04f434881fa</t>
    </r>
  </si>
  <si>
    <t>Atul Auto</t>
  </si>
  <si>
    <r>
      <rPr>
        <u/>
        <sz val="11"/>
        <color rgb="FF1155CC"/>
        <rFont val="Calibri, sans-serif"/>
      </rPr>
      <t>https://social.stockedge.com/posts/314e5524-20f8-4a1f-be09-21e252a29135</t>
    </r>
  </si>
  <si>
    <t>Sudarshan Chemical</t>
  </si>
  <si>
    <r>
      <rPr>
        <u/>
        <sz val="11"/>
        <color rgb="FF1155CC"/>
        <rFont val="Calibri, sans-serif"/>
      </rPr>
      <t>https://social.stockedge.com/posts/99e4d376-f93f-471e-87be-7794f1407151</t>
    </r>
  </si>
  <si>
    <r>
      <rPr>
        <u/>
        <sz val="11"/>
        <color rgb="FF1155CC"/>
        <rFont val="Calibri, sans-serif"/>
      </rPr>
      <t>Finolex Cables Ltd.</t>
    </r>
  </si>
  <si>
    <t>https://social.stockedge.com/posts/7d2394cf-e482-45e1-b648-99c09b885dc7</t>
  </si>
  <si>
    <r>
      <rPr>
        <u/>
        <sz val="11"/>
        <color rgb="FF1155CC"/>
        <rFont val="Calibri, sans-serif"/>
      </rPr>
      <t>State Bank Of India</t>
    </r>
  </si>
  <si>
    <t>https://social.stockedge.com/posts/286e6c6b-bee6-4e9d-b068-2e5d7fbf318b</t>
  </si>
  <si>
    <t>TataSteel</t>
  </si>
  <si>
    <r>
      <rPr>
        <u/>
        <sz val="11"/>
        <color rgb="FF1155CC"/>
        <rFont val="Calibri, sans-serif"/>
      </rPr>
      <t>https://social.stockedge.com/posts/21298fa5-dfab-4a26-bbf4-0f8d2e17a252</t>
    </r>
  </si>
  <si>
    <t>JBM AUTO LTD</t>
  </si>
  <si>
    <t>https://social.stockedge.com/posts/6a4e3404-7c2e-4457-a78d-1bf1fdbeecbe</t>
  </si>
  <si>
    <t>TATA CONSUMER</t>
  </si>
  <si>
    <r>
      <rPr>
        <u/>
        <sz val="11"/>
        <color rgb="FF1155CC"/>
        <rFont val="Calibri, sans-serif"/>
      </rPr>
      <t>https://social.stockedge.com/posts/96748dbf-3042-412a-8294-e65f439f1240</t>
    </r>
  </si>
  <si>
    <t>MCDOWELL</t>
  </si>
  <si>
    <r>
      <rPr>
        <u/>
        <sz val="11"/>
        <color rgb="FF1155CC"/>
        <rFont val="Calibri, sans-serif"/>
      </rPr>
      <t>https://social.stockedge.com/posts/147b1663-d822-4f38-a48c-3c7c941a2870</t>
    </r>
  </si>
  <si>
    <t>LIC Housing Finance Ltd.</t>
  </si>
  <si>
    <r>
      <rPr>
        <u/>
        <sz val="11"/>
        <color rgb="FF1155CC"/>
        <rFont val="Calibri, sans-serif"/>
      </rPr>
      <t>https://social.stockedge.com/posts/8eec99c2-ed86-4d8c-961c-04c5502f57a4</t>
    </r>
  </si>
  <si>
    <t>https://social.stockedge.com/posts/7867a65e-ddbc-4607-904d-e1bad3b0e34f</t>
  </si>
  <si>
    <t>Concor</t>
  </si>
  <si>
    <t>https://social.stockedge.com/posts/adb5e781-ba11-4b1a-bc8c-48822dd2fdf1</t>
  </si>
  <si>
    <t>16 March Nifty 50</t>
  </si>
  <si>
    <t>https://social.stockedge.com/posts/8bfbc92e-c5b6-48e2-9c7b-87be94b9f5f1</t>
  </si>
  <si>
    <t>Nifty Bank</t>
  </si>
  <si>
    <t>https://social.stockedge.com/posts/784a6c9d-e1e4-4760-bbb1-2469827ef880</t>
  </si>
  <si>
    <r>
      <rPr>
        <u/>
        <sz val="11"/>
        <color rgb="FF1155CC"/>
        <rFont val="Calibri, sans-serif"/>
      </rPr>
      <t>Hikal Ltd</t>
    </r>
  </si>
  <si>
    <t>https://social.stockedge.com/posts/67110829-6de4-4480-8c28-a0fa12a986e2</t>
  </si>
  <si>
    <t>Titan</t>
  </si>
  <si>
    <r>
      <rPr>
        <u/>
        <sz val="11"/>
        <color rgb="FF1155CC"/>
        <rFont val="Calibri, sans-serif"/>
      </rPr>
      <t>https://social.stockedge.com/posts/366302a8-5f4b-421e-bfb7-d8b9dc02dfc8</t>
    </r>
  </si>
  <si>
    <r>
      <rPr>
        <u/>
        <sz val="11"/>
        <color rgb="FF1155CC"/>
        <rFont val="Calibri, sans-serif"/>
      </rPr>
      <t>Cipla Ltd.</t>
    </r>
  </si>
  <si>
    <t>https://social.stockedge.com/posts/d5edec12-d1e6-4c5c-b5cd-ffb477bcb91a</t>
  </si>
  <si>
    <r>
      <rPr>
        <u/>
        <sz val="11"/>
        <color rgb="FF1155CC"/>
        <rFont val="Calibri, sans-serif"/>
      </rPr>
      <t>Tata Investment</t>
    </r>
  </si>
  <si>
    <r>
      <rPr>
        <u/>
        <sz val="11"/>
        <color rgb="FF1155CC"/>
        <rFont val="Calibri, sans-serif"/>
      </rPr>
      <t>https://social.stockedge.com/posts/f93a0f06-7555-45dc-8e24-1e85029b02dc</t>
    </r>
  </si>
  <si>
    <t>Nifty Finservice</t>
  </si>
  <si>
    <t>https://social.stockedge.com/posts/bfb86bbd-d77a-4852-b157-323db0b43d2f</t>
  </si>
  <si>
    <r>
      <rPr>
        <u/>
        <sz val="11"/>
        <color rgb="FF1155CC"/>
        <rFont val="Calibri, sans-serif"/>
      </rPr>
      <t>KPIT</t>
    </r>
  </si>
  <si>
    <r>
      <rPr>
        <u/>
        <sz val="11"/>
        <color rgb="FF1155CC"/>
        <rFont val="Calibri, sans-serif"/>
      </rPr>
      <t>https://social.stockedge.com/posts/093b0fa6-15b2-499f-9b23-602eca2b4371</t>
    </r>
  </si>
  <si>
    <r>
      <rPr>
        <u/>
        <sz val="11"/>
        <color rgb="FF1155CC"/>
        <rFont val="Calibri, sans-serif"/>
      </rPr>
      <t>Thermax Ltd.</t>
    </r>
  </si>
  <si>
    <t>https://social.stockedge.com/posts/aa62ab7a-29bd-45e0-a98c-1648a7d5bb37</t>
  </si>
  <si>
    <t>https://social.stockedge.com/posts/37643584-8084-4052-95fd-c300942d3bc0</t>
  </si>
  <si>
    <r>
      <rPr>
        <u/>
        <sz val="11"/>
        <color rgb="FF1155CC"/>
        <rFont val="Calibri, sans-serif"/>
      </rPr>
      <t>Bajaj Finance Ltd</t>
    </r>
  </si>
  <si>
    <r>
      <rPr>
        <u/>
        <sz val="11"/>
        <color rgb="FF1155CC"/>
        <rFont val="Calibri, sans-serif"/>
      </rPr>
      <t>https://social.stockedge.com/posts/18bc4207-70b7-475d-bb85-4b6356930b1a</t>
    </r>
  </si>
  <si>
    <r>
      <rPr>
        <u/>
        <sz val="11"/>
        <color rgb="FF1155CC"/>
        <rFont val="Calibri, sans-serif"/>
      </rPr>
      <t>Grasim</t>
    </r>
  </si>
  <si>
    <t>https://social.stockedge.com/posts/4e8fecea-083c-4c86-b151-14ea799d75b9</t>
  </si>
  <si>
    <t>Page Industries Ltd.</t>
  </si>
  <si>
    <t>https://social.stockedge.com/posts/571a24b5-2cd8-4808-a130-b4e2bb3d58bf</t>
  </si>
  <si>
    <r>
      <rPr>
        <u/>
        <sz val="11"/>
        <color rgb="FF1155CC"/>
        <rFont val="Calibri, sans-serif"/>
      </rPr>
      <t>BEML Ltd.</t>
    </r>
  </si>
  <si>
    <t>https://social.stockedge.com/posts/2550c0de-eb19-4fd6-817c-966c73fcaa5b</t>
  </si>
  <si>
    <r>
      <rPr>
        <u/>
        <sz val="11"/>
        <color rgb="FF1155CC"/>
        <rFont val="Calibri, sans-serif"/>
      </rPr>
      <t>Container Corporation</t>
    </r>
  </si>
  <si>
    <t>https://social.stockedge.com/posts/f06cd943-0112-4f06-b895-99808d109b54</t>
  </si>
  <si>
    <t>Avenue Supermarts Ltd.</t>
  </si>
  <si>
    <t>https://social.stockedge.com/posts/887ab412-9961-4f18-a032-67393fea9b49</t>
  </si>
  <si>
    <r>
      <rPr>
        <u/>
        <sz val="11"/>
        <color rgb="FF1155CC"/>
        <rFont val="Calibri, sans-serif"/>
      </rPr>
      <t>Anupam Rasayan India Ltd.</t>
    </r>
  </si>
  <si>
    <t>https://social.stockedge.com/posts/0662ab58-b4bc-4bce-a8f1-4e6b612825ad</t>
  </si>
  <si>
    <r>
      <rPr>
        <u/>
        <sz val="11"/>
        <color rgb="FF1155CC"/>
        <rFont val="Calibri, sans-serif"/>
      </rPr>
      <t>UTI Asset Management</t>
    </r>
  </si>
  <si>
    <t>https://social.stockedge.com/posts/9c75766e-a3f9-45b4-8928-f7431af17935</t>
  </si>
  <si>
    <r>
      <rPr>
        <u/>
        <sz val="11"/>
        <color rgb="FF1155CC"/>
        <rFont val="Calibri, sans-serif"/>
      </rPr>
      <t>Godrej Consumer</t>
    </r>
  </si>
  <si>
    <t>https://social.stockedge.com/posts/19d7b83a-2c71-44cf-b6d2-4ac4f6f6e149</t>
  </si>
  <si>
    <t>Alkem Laboratories Ltd.</t>
  </si>
  <si>
    <r>
      <rPr>
        <u/>
        <sz val="11"/>
        <color rgb="FF1155CC"/>
        <rFont val="Calibri, sans-serif"/>
      </rPr>
      <t>https://social.stockedge.com/posts/79ed4ca8-29aa-45ef-8087-aaa9d59aa383</t>
    </r>
  </si>
  <si>
    <t>Triveni Turbine Ltd.</t>
  </si>
  <si>
    <r>
      <rPr>
        <u/>
        <sz val="11"/>
        <color rgb="FF1155CC"/>
        <rFont val="Calibri, sans-serif"/>
      </rPr>
      <t>https://social.stockedge.com/posts/9f7599b0-36b9-428d-b856-7d269ead2c4a</t>
    </r>
  </si>
  <si>
    <r>
      <rPr>
        <u/>
        <sz val="11"/>
        <color rgb="FF1155CC"/>
        <rFont val="Calibri, sans-serif"/>
      </rPr>
      <t>Angel One Ltd</t>
    </r>
  </si>
  <si>
    <r>
      <rPr>
        <u/>
        <sz val="11"/>
        <color rgb="FF1155CC"/>
        <rFont val="Calibri, sans-serif"/>
      </rPr>
      <t>https://social.stockedge.com/posts/620249b1-f855-4d1c-b37e-8a0d318575a3</t>
    </r>
  </si>
  <si>
    <t>Fine Organic Industries Ltd.</t>
  </si>
  <si>
    <r>
      <rPr>
        <u/>
        <sz val="11"/>
        <color rgb="FF1155CC"/>
        <rFont val="Calibri, sans-serif"/>
      </rPr>
      <t>https://social.stockedge.com/posts/5e32224e-aeff-47fd-b740-bddce32c2689</t>
    </r>
  </si>
  <si>
    <r>
      <rPr>
        <u/>
        <sz val="11"/>
        <color rgb="FF1155CC"/>
        <rFont val="Calibri, sans-serif"/>
      </rPr>
      <t>Aegis Logistics Ltd</t>
    </r>
  </si>
  <si>
    <t>https://social.stockedge.com/posts/30c6a19d-d24f-4eea-9618-0fbb0dfb90a1</t>
  </si>
  <si>
    <r>
      <rPr>
        <u/>
        <sz val="11"/>
        <color rgb="FF1155CC"/>
        <rFont val="Calibri, sans-serif"/>
      </rPr>
      <t>LIC Housing Finance Ltd.</t>
    </r>
  </si>
  <si>
    <t>https://social.stockedge.com/posts/c026310a-d328-48fe-b1c0-58b513687adf</t>
  </si>
  <si>
    <r>
      <rPr>
        <u/>
        <sz val="11"/>
        <color rgb="FF1155CC"/>
        <rFont val="Calibri, sans-serif"/>
      </rPr>
      <t>Vijaya Diagnostic Pvt Ltd</t>
    </r>
  </si>
  <si>
    <t>https://social.stockedge.com/posts/109450c3-83b1-4dd7-9add-6b03824c6ed6</t>
  </si>
  <si>
    <t>SRF Ltd.</t>
  </si>
  <si>
    <r>
      <rPr>
        <u/>
        <sz val="11"/>
        <color rgb="FF1155CC"/>
        <rFont val="Calibri, sans-serif"/>
      </rPr>
      <t>https://social.stockedge.com/posts/053ef265-936d-474e-b3bf-37c409c22f80</t>
    </r>
  </si>
  <si>
    <t>Hero MotoCorp Ltd.</t>
  </si>
  <si>
    <r>
      <rPr>
        <u/>
        <sz val="11"/>
        <color rgb="FF1155CC"/>
        <rFont val="Calibri, sans-serif"/>
      </rPr>
      <t>https://social.stockedge.com/posts/628a7b46-dadf-46d7-95e5-58a658a8551d</t>
    </r>
  </si>
  <si>
    <t>Asahi India Glass Ltd.</t>
  </si>
  <si>
    <t>https://social.stockedge.com/posts/13330304-1c1a-472a-b3d7-77f4ea031e15</t>
  </si>
  <si>
    <t>Zydus Lifesciences Ltd.</t>
  </si>
  <si>
    <r>
      <rPr>
        <u/>
        <sz val="11"/>
        <color rgb="FF1155CC"/>
        <rFont val="Calibri, sans-serif"/>
      </rPr>
      <t>https://social.stockedge.com/posts/89b31a39-bf39-4663-89f9-127e4c0a86a1</t>
    </r>
  </si>
  <si>
    <r>
      <rPr>
        <u/>
        <sz val="11"/>
        <color rgb="FF1155CC"/>
        <rFont val="Calibri, sans-serif"/>
      </rPr>
      <t>Cochin Shipyard Ltd.</t>
    </r>
  </si>
  <si>
    <t>https://social.stockedge.com/posts/0807cfbd-6bcb-466c-a266-f7c7452cf75c</t>
  </si>
  <si>
    <r>
      <rPr>
        <u/>
        <sz val="11"/>
        <color rgb="FF1155CC"/>
        <rFont val="Calibri, sans-serif"/>
      </rPr>
      <t>Tata Motors Ltd.</t>
    </r>
  </si>
  <si>
    <t>https://social.stockedge.com/posts/5b04e7ff-b699-4190-bed5-9579188bae08</t>
  </si>
  <si>
    <r>
      <rPr>
        <u/>
        <sz val="11"/>
        <color rgb="FF1155CC"/>
        <rFont val="Calibri, sans-serif"/>
      </rPr>
      <t>DLF Ltd.</t>
    </r>
  </si>
  <si>
    <r>
      <rPr>
        <u/>
        <sz val="11"/>
        <color rgb="FF1155CC"/>
        <rFont val="Calibri, sans-serif"/>
      </rPr>
      <t>https://social.stockedge.com/posts/5e0d9692-4e28-45e9-aec8-4219022da1af</t>
    </r>
  </si>
  <si>
    <r>
      <rPr>
        <u/>
        <sz val="11"/>
        <color rgb="FF1155CC"/>
        <rFont val="Calibri, sans-serif"/>
      </rPr>
      <t>Prestige Estates Projects Ltd.</t>
    </r>
  </si>
  <si>
    <t>https://social.stockedge.com/posts/736cd869-c2bb-4384-941e-78f86a107fb2</t>
  </si>
  <si>
    <r>
      <rPr>
        <u/>
        <sz val="11"/>
        <color rgb="FF1155CC"/>
        <rFont val="Calibri, sans-serif"/>
      </rPr>
      <t>Godrej Properties Ltd.</t>
    </r>
  </si>
  <si>
    <t>https://social.stockedge.com/posts/86981ed5-d263-407a-a7ee-e52fd8eb0ba3</t>
  </si>
  <si>
    <r>
      <rPr>
        <u/>
        <sz val="11"/>
        <color rgb="FF1155CC"/>
        <rFont val="Calibri, sans-serif"/>
      </rPr>
      <t>Oberoi Realty Ltd.</t>
    </r>
  </si>
  <si>
    <t>https://social.stockedge.com/posts/048fc506-9224-4990-a66e-725530441b4a</t>
  </si>
  <si>
    <r>
      <rPr>
        <u/>
        <sz val="11"/>
        <color rgb="FF1155CC"/>
        <rFont val="Calibri, sans-serif"/>
      </rPr>
      <t>EIH LTD</t>
    </r>
  </si>
  <si>
    <t>https://social.stockedge.com/posts/5757ce81-947e-43c3-b541-e5c8a273dd51</t>
  </si>
  <si>
    <r>
      <rPr>
        <u/>
        <sz val="11"/>
        <color rgb="FF1155CC"/>
        <rFont val="Calibri, sans-serif"/>
      </rPr>
      <t>K.P.R. Mill Ltd</t>
    </r>
  </si>
  <si>
    <t>https://social.stockedge.com/posts/60a43915-ba4d-4f97-8b23-9ba547e6dcc7</t>
  </si>
  <si>
    <r>
      <rPr>
        <u/>
        <sz val="11"/>
        <color rgb="FF1155CC"/>
        <rFont val="Calibri, sans-serif"/>
      </rPr>
      <t>Alkyl Amines Chemicals Ltd.</t>
    </r>
  </si>
  <si>
    <t>https://social.stockedge.com/posts/04938861-ec7e-448d-867d-236e263755d9</t>
  </si>
  <si>
    <t>https://social.stockedge.com/posts/ae1014f3-e3cc-4f70-a64d-3b108d90558a</t>
  </si>
  <si>
    <t>BSE Ltd.</t>
  </si>
  <si>
    <r>
      <rPr>
        <u/>
        <sz val="11"/>
        <color rgb="FF1155CC"/>
        <rFont val="Calibri, sans-serif"/>
      </rPr>
      <t>https://social.stockedge.com/posts/82784c44-44d5-49c9-b3f7-60161725704b</t>
    </r>
  </si>
  <si>
    <t>https://social.stockedge.com/posts/9c830eea-9600-4eac-92a1-7f5f11995aa1</t>
  </si>
  <si>
    <t>CEAT</t>
  </si>
  <si>
    <r>
      <rPr>
        <u/>
        <sz val="11"/>
        <color rgb="FF1155CC"/>
        <rFont val="Calibri, sans-serif"/>
      </rPr>
      <t>https://social.stockedge.com/posts/48588c85-b284-48e2-ae69-d0357ba60ad3</t>
    </r>
  </si>
  <si>
    <t>Canfin Homes</t>
  </si>
  <si>
    <t>https://social.stockedge.com/posts/fb1fd4cf-9614-4504-bfa2-f65d66d1f3af</t>
  </si>
  <si>
    <t>HDFCAMC</t>
  </si>
  <si>
    <t>https://social.stockedge.com/posts/284c342f-b9b4-4d9d-a4a2-1d72b1bc1cc2</t>
  </si>
  <si>
    <r>
      <rPr>
        <u/>
        <sz val="11"/>
        <color rgb="FF1155CC"/>
        <rFont val="Calibri, sans-serif"/>
      </rPr>
      <t>https://social.stockedge.com/posts/bffa93c4-6454-4bf5-a019-7d22de717292</t>
    </r>
  </si>
  <si>
    <t>Mazagon Dock Shipbuilders Ltd.</t>
  </si>
  <si>
    <r>
      <rPr>
        <u/>
        <sz val="11"/>
        <color rgb="FF1155CC"/>
        <rFont val="Calibri, sans-serif"/>
      </rPr>
      <t>https://social.stockedge.com/posts/3bb30045-9a87-4d1c-b244-f35baf531d2f</t>
    </r>
  </si>
  <si>
    <t>Hindalco</t>
  </si>
  <si>
    <r>
      <rPr>
        <u/>
        <sz val="11"/>
        <color rgb="FF1155CC"/>
        <rFont val="Calibri, sans-serif"/>
      </rPr>
      <t>https://social.stockedge.com/posts/8c8cbb97-b54b-4593-98d8-928c81e59594</t>
    </r>
  </si>
  <si>
    <r>
      <rPr>
        <u/>
        <sz val="11"/>
        <color rgb="FF1155CC"/>
        <rFont val="Calibri, sans-serif"/>
      </rPr>
      <t>eClerx Services Ltd.</t>
    </r>
  </si>
  <si>
    <r>
      <rPr>
        <u/>
        <sz val="11"/>
        <color rgb="FF1155CC"/>
        <rFont val="Calibri, sans-serif"/>
      </rPr>
      <t>https://social.stockedge.com/posts/41c3e9d6-2b26-49b2-8622-86cf78dd48e3</t>
    </r>
  </si>
  <si>
    <t>TATA POWER</t>
  </si>
  <si>
    <r>
      <rPr>
        <u/>
        <sz val="11"/>
        <color rgb="FF1155CC"/>
        <rFont val="Calibri, sans-serif"/>
      </rPr>
      <t>https://social.stockedge.com/posts/14ae72ee-4685-477f-bb61-e49674deda90</t>
    </r>
  </si>
  <si>
    <t>PVR</t>
  </si>
  <si>
    <t>https://social.stockedge.com/posts/cf891d17-4851-4873-a3d2-1d43b88b502d</t>
  </si>
  <si>
    <t>NRBBEARING</t>
  </si>
  <si>
    <r>
      <rPr>
        <u/>
        <sz val="11"/>
        <color rgb="FF1155CC"/>
        <rFont val="Calibri, sans-serif"/>
      </rPr>
      <t>https://www.tradingview.com/chart/NRBBEARING/idVfzNdu-NRBBEARINGS/</t>
    </r>
  </si>
  <si>
    <t>TORRENTPOWER</t>
  </si>
  <si>
    <t>https://social.stockedge.com/posts/6448549c-3a01-4ac9-9459-055e5f7d7840</t>
  </si>
  <si>
    <t>Hindustan Unilever Ltd.</t>
  </si>
  <si>
    <t>https://social.stockedge.com/posts/6772c4b1-f8b4-4423-b667-717e9b656dec</t>
  </si>
  <si>
    <t>Spandana</t>
  </si>
  <si>
    <t>https://social.stockedge.com/posts/43e62ce1-48e8-41bc-9f25-3dce5cad3ebc</t>
  </si>
  <si>
    <t>ZEEL</t>
  </si>
  <si>
    <t>https://social.stockedge.com/posts/e73c7907-7f6c-4294-bebd-a3c2d35db294</t>
  </si>
  <si>
    <r>
      <rPr>
        <u/>
        <sz val="11"/>
        <color rgb="FF1155CC"/>
        <rFont val="Calibri, sans-serif"/>
      </rPr>
      <t>West Coast Paper Mills Ltd.</t>
    </r>
  </si>
  <si>
    <r>
      <rPr>
        <u/>
        <sz val="11"/>
        <color rgb="FF1155CC"/>
        <rFont val="Calibri, sans-serif"/>
      </rPr>
      <t>https://social.stockedge.com/posts/d2525b78-ca4d-4c92-bd17-fc999506dfb9</t>
    </r>
  </si>
  <si>
    <t>Olectra</t>
  </si>
  <si>
    <r>
      <rPr>
        <u/>
        <sz val="11"/>
        <color rgb="FF1155CC"/>
        <rFont val="Calibri, sans-serif"/>
      </rPr>
      <t>https://social.stockedge.com/posts/5be96be9-2850-4951-80be-dc6f756119f7</t>
    </r>
  </si>
  <si>
    <t>JK Paper Ltd.</t>
  </si>
  <si>
    <t>https://social.stockedge.com/posts/dda9c77c-bcb6-4172-bac0-e0535fac8a6b</t>
  </si>
  <si>
    <t>KPI Green Energy Ltd.</t>
  </si>
  <si>
    <r>
      <rPr>
        <u/>
        <sz val="11"/>
        <color rgb="FF1155CC"/>
        <rFont val="Calibri, sans-serif"/>
      </rPr>
      <t>https://social.stockedge.com/posts/412e217b-54ad-48bd-bfe5-725b4219f34b</t>
    </r>
  </si>
  <si>
    <t>Apollotyres</t>
  </si>
  <si>
    <r>
      <rPr>
        <u/>
        <sz val="11"/>
        <color rgb="FF1155CC"/>
        <rFont val="Calibri, sans-serif"/>
      </rPr>
      <t>https://social.stockedge.com/posts/ade5ecb7-5fb4-4ebf-bca8-0e29d3fdaaae</t>
    </r>
  </si>
  <si>
    <t>Radico</t>
  </si>
  <si>
    <t>https://social.stockedge.com/posts/041a0e47-aaed-4d8f-ae39-b4287f209a93</t>
  </si>
  <si>
    <t>https://social.stockedge.com/posts/1b0c9661-761a-4fb2-8f97-7c54d40a47c2</t>
  </si>
  <si>
    <t>Raymonds</t>
  </si>
  <si>
    <r>
      <rPr>
        <u/>
        <sz val="11"/>
        <color rgb="FF1155CC"/>
        <rFont val="Calibri, sans-serif"/>
      </rPr>
      <t>https://social.stockedge.com/posts/7a4132bd-070d-4665-880f-94743e09b7f9</t>
    </r>
  </si>
  <si>
    <t>MuthootFinance</t>
  </si>
  <si>
    <t>https://social.stockedge.com/posts/beac0e47-d580-4894-871b-48a7d687ed61</t>
  </si>
  <si>
    <t>https://social.stockedge.com/posts/38ea7c21-c31f-434e-bec7-877fe14400e3</t>
  </si>
  <si>
    <t>Arti Industries</t>
  </si>
  <si>
    <t>https://social.stockedge.com/posts/e1f69d2f-f29d-4b87-8102-cbf129576717</t>
  </si>
  <si>
    <t>HPCL</t>
  </si>
  <si>
    <t>https://social.stockedge.com/posts/29d921eb-3f04-43b3-b34a-3452f4bdba10</t>
  </si>
  <si>
    <r>
      <rPr>
        <u/>
        <sz val="11"/>
        <color rgb="FF1155CC"/>
        <rFont val="Calibri, sans-serif"/>
      </rPr>
      <t>https://social.stockedge.com/posts/56e3a7f9-cfff-4a0e-8fc6-7a249fdac37a</t>
    </r>
  </si>
  <si>
    <r>
      <rPr>
        <u/>
        <sz val="11"/>
        <color rgb="FF1155CC"/>
        <rFont val="Calibri, sans-serif"/>
      </rPr>
      <t>https://social.stockedge.com/posts/9a807c16-9b91-4c21-92d1-1393d450ede2</t>
    </r>
  </si>
  <si>
    <t>Data Patterns</t>
  </si>
  <si>
    <r>
      <rPr>
        <u/>
        <sz val="11"/>
        <color rgb="FF1155CC"/>
        <rFont val="Calibri, sans-serif"/>
      </rPr>
      <t>https://social.stockedge.com/posts/aa643590-ed13-4a8a-b72f-46edff33fb49</t>
    </r>
  </si>
  <si>
    <t>Ibulhsgfinance</t>
  </si>
  <si>
    <r>
      <rPr>
        <u/>
        <sz val="11"/>
        <color rgb="FF1155CC"/>
        <rFont val="Calibri, sans-serif"/>
      </rPr>
      <t>https://social.stockedge.com/posts/6743f9c1-df53-4114-b7d3-7999642d1027</t>
    </r>
  </si>
  <si>
    <t>Amara Raja Energy &amp; Mobility Ltd.https://social.stockedge.com/posts/77a3e25d-8970-4826-a494-0b4582afa168</t>
  </si>
  <si>
    <t>Overall Return</t>
  </si>
  <si>
    <t>Year 2024</t>
  </si>
  <si>
    <t>cholafin</t>
  </si>
  <si>
    <t>https://social.stockedge.com/posts/a2fec491-b4f6-4ef6-9bdf-45cd74acb85a</t>
  </si>
  <si>
    <t>Carborundum Universal Ltd</t>
  </si>
  <si>
    <r>
      <rPr>
        <u/>
        <sz val="11"/>
        <color rgb="FF1155CC"/>
        <rFont val="Calibri, sans-serif"/>
      </rPr>
      <t>https://social.stockedge.com/posts/8a83b7a6-7a7e-45d4-8891-f4e172c39746</t>
    </r>
  </si>
  <si>
    <t>Rainbow</t>
  </si>
  <si>
    <t>https://social.stockedge.com/posts/ad5e1fa0-a577-402c-b544-37cf4168757f</t>
  </si>
  <si>
    <r>
      <rPr>
        <u/>
        <sz val="11"/>
        <color rgb="FF1155CC"/>
        <rFont val="Calibri, sans-serif"/>
      </rPr>
      <t>Kabra Extrusiontechnik Ltd</t>
    </r>
  </si>
  <si>
    <r>
      <rPr>
        <u/>
        <sz val="11"/>
        <color rgb="FF1155CC"/>
        <rFont val="Calibri, sans-serif"/>
      </rPr>
      <t>https://social.stockedge.com/posts/5b03fdac-284b-497e-8d0f-81a5865239fc</t>
    </r>
  </si>
  <si>
    <r>
      <rPr>
        <u/>
        <sz val="11"/>
        <color rgb="FF1155CC"/>
        <rFont val="Calibri, sans-serif"/>
      </rPr>
      <t>https://social.stockedge.com/posts/e75f895d-7367-4e37-99e7-4d8619f75d77</t>
    </r>
  </si>
  <si>
    <t>Aubank</t>
  </si>
  <si>
    <t>https://social.stockedge.com/posts/9e7325b1-a9c5-4942-a3c9-833845bb2f48</t>
  </si>
  <si>
    <t>https://social.stockedge.com/posts/01bc9b01-916a-477b-a565-efc66087f2d5</t>
  </si>
  <si>
    <t xml:space="preserve">Current Price 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</si>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</sst>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d\-mmm\-yyyy"/>
    <numFmt numFmtId="165" formatCode="d\-mmmm"/>
    <numFmt numFmtId="166" formatCode="d\ mmmm\ yyyy"/>
    <numFmt numFmtId="167" formatCode="d\ mmm\ yyyy"/>
    <numFmt numFmtId="168" formatCode="mmmm\ yyyy"/>
    <numFmt numFmtId="169" formatCode="d\ mmm"/>
    <numFmt numFmtId="170" formatCode="d\-mmm"/>
    <numFmt numFmtId="171" formatCode="d\ \-mmm"/>
    <numFmt numFmtId="172" formatCode="dd\-mmm"/>
    <numFmt numFmtId="173" formatCode="d\ mmmm\,\ yyyy"/>
    <numFmt numFmtId="174" formatCode="d\ mmmm"/>
    <numFmt numFmtId="175" formatCode="&quot;$&quot;#,##0.00"/>
    <numFmt numFmtId="176" formatCode="d&quot;-&quot;mmm&quot;-&quot;yyyy"/>
    <numFmt numFmtId="177" formatCode="ddmmmm\ yyyy"/>
    <numFmt numFmtId="178" formatCode="dd\-mmmm"/>
  </numFmts>
  <fonts count="7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9"/>
      <color theme="1"/>
      <name val="Google Sans Mono"/>
    </font>
    <font>
      <b/>
      <sz val="9"/>
      <color rgb="FF000000"/>
      <name val="Arial"/>
    </font>
    <font>
      <b/>
      <sz val="10"/>
      <color theme="1"/>
      <name val="Calibri"/>
    </font>
    <font>
      <b/>
      <u/>
      <sz val="10"/>
      <color rgb="FF0000FF"/>
      <name val="Arial"/>
    </font>
    <font>
      <sz val="10"/>
      <color rgb="FF000000"/>
      <name val="Arial"/>
    </font>
    <font>
      <b/>
      <sz val="9"/>
      <color theme="1"/>
      <name val="Arial"/>
    </font>
    <font>
      <b/>
      <u/>
      <sz val="10"/>
      <color rgb="FF0000FF"/>
      <name val="Arial"/>
    </font>
    <font>
      <b/>
      <u/>
      <sz val="10"/>
      <color theme="1"/>
      <name val="Arial"/>
    </font>
    <font>
      <b/>
      <u/>
      <sz val="10"/>
      <color rgb="FF1155CC"/>
      <name val="Arial"/>
    </font>
    <font>
      <b/>
      <sz val="9"/>
      <color theme="1"/>
      <name val="Google Sans Mono"/>
    </font>
    <font>
      <b/>
      <u/>
      <sz val="10"/>
      <color theme="1"/>
      <name val="Arial"/>
    </font>
    <font>
      <b/>
      <sz val="16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3"/>
      <color theme="1"/>
      <name val="Arial"/>
    </font>
    <font>
      <sz val="10"/>
      <color theme="1"/>
      <name val="Arial"/>
      <scheme val="minor"/>
    </font>
    <font>
      <b/>
      <sz val="17"/>
      <color theme="1"/>
      <name val="Arial"/>
    </font>
    <font>
      <b/>
      <i/>
      <sz val="10"/>
      <color rgb="FFFF0000"/>
      <name val="Arial"/>
      <scheme val="minor"/>
    </font>
    <font>
      <b/>
      <i/>
      <sz val="10"/>
      <color rgb="FFFF0000"/>
      <name val="Arial"/>
    </font>
    <font>
      <i/>
      <sz val="10"/>
      <color theme="1"/>
      <name val="Arial"/>
      <scheme val="minor"/>
    </font>
    <font>
      <b/>
      <sz val="22"/>
      <color theme="1"/>
      <name val="Arial"/>
    </font>
    <font>
      <sz val="18"/>
      <color rgb="FFFF0000"/>
      <name val="Arial"/>
    </font>
    <font>
      <sz val="18"/>
      <color rgb="FFFF0000"/>
      <name val="Arial"/>
      <scheme val="minor"/>
    </font>
    <font>
      <sz val="12"/>
      <color theme="1"/>
      <name val="Calibri"/>
    </font>
    <font>
      <sz val="11"/>
      <color rgb="FF64749D"/>
      <name val="Inter"/>
    </font>
    <font>
      <sz val="9"/>
      <color theme="1"/>
      <name val="Arial"/>
    </font>
    <font>
      <sz val="10"/>
      <color rgb="FF0F0F0F"/>
      <name val="Arial"/>
    </font>
    <font>
      <u/>
      <sz val="12"/>
      <color theme="1"/>
      <name val="Calibri"/>
    </font>
    <font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theme="1"/>
      <name val="Arial"/>
    </font>
    <font>
      <u/>
      <sz val="12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u/>
      <sz val="14"/>
      <color theme="1"/>
      <name val="Arial"/>
    </font>
    <font>
      <u/>
      <sz val="10"/>
      <color rgb="FF0000FF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13"/>
      <color theme="1"/>
      <name val="Arial"/>
    </font>
    <font>
      <sz val="11"/>
      <color rgb="FF000000"/>
      <name val="Calibri"/>
    </font>
    <font>
      <b/>
      <sz val="24"/>
      <color rgb="FF00FF00"/>
      <name val="Calibri"/>
    </font>
    <font>
      <u/>
      <sz val="11"/>
      <color rgb="FF0000FF"/>
      <name val="Calibri"/>
    </font>
    <font>
      <u/>
      <sz val="11"/>
      <color rgb="FF0000FF"/>
      <name val="Arial"/>
    </font>
    <font>
      <sz val="11"/>
      <color theme="1"/>
      <name val="Calibri"/>
    </font>
    <font>
      <u/>
      <sz val="11"/>
      <color rgb="FF000000"/>
      <name val="Calibri"/>
    </font>
    <font>
      <u/>
      <sz val="11"/>
      <color rgb="FF0563C1"/>
      <name val="Calibri"/>
    </font>
    <font>
      <sz val="11"/>
      <color rgb="FF3A69BA"/>
      <name val="Trebuchet MS"/>
    </font>
    <font>
      <sz val="8"/>
      <color rgb="FF000000"/>
      <name val="Trebuchet MS"/>
    </font>
    <font>
      <b/>
      <sz val="28"/>
      <color rgb="FF000000"/>
      <name val="Calibri"/>
    </font>
    <font>
      <sz val="26"/>
      <color rgb="FF000000"/>
      <name val="Calibri"/>
    </font>
    <font>
      <u/>
      <sz val="10"/>
      <color rgb="FF1155CC"/>
      <name val="Arial"/>
    </font>
    <font>
      <u/>
      <sz val="11"/>
      <color rgb="FF1155CC"/>
      <name val="Calibri, sans-serif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E4EBFA"/>
        <bgColor rgb="FFE4EBFA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5" fillId="2" borderId="0" xfId="0" applyNumberFormat="1" applyFont="1" applyFill="1" applyAlignment="1">
      <alignment horizontal="right"/>
    </xf>
    <xf numFmtId="10" fontId="6" fillId="3" borderId="0" xfId="0" applyNumberFormat="1" applyFont="1" applyFill="1" applyAlignment="1">
      <alignment horizontal="center" wrapText="1"/>
    </xf>
    <xf numFmtId="1" fontId="7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4" borderId="0" xfId="0" applyFont="1" applyFill="1"/>
    <xf numFmtId="0" fontId="2" fillId="4" borderId="0" xfId="0" applyFont="1" applyFill="1" applyAlignment="1">
      <alignment horizontal="right"/>
    </xf>
    <xf numFmtId="10" fontId="1" fillId="4" borderId="0" xfId="0" applyNumberFormat="1" applyFont="1" applyFill="1" applyAlignment="1">
      <alignment horizontal="right"/>
    </xf>
    <xf numFmtId="10" fontId="6" fillId="5" borderId="0" xfId="0" applyNumberFormat="1" applyFont="1" applyFill="1" applyAlignment="1">
      <alignment horizontal="center" wrapText="1"/>
    </xf>
    <xf numFmtId="9" fontId="1" fillId="0" borderId="0" xfId="0" applyNumberFormat="1" applyFont="1"/>
    <xf numFmtId="10" fontId="2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9" fillId="2" borderId="0" xfId="0" applyNumberFormat="1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right"/>
    </xf>
    <xf numFmtId="1" fontId="3" fillId="5" borderId="0" xfId="0" applyNumberFormat="1" applyFon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10" fontId="6" fillId="6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right"/>
    </xf>
    <xf numFmtId="1" fontId="14" fillId="5" borderId="0" xfId="0" applyNumberFormat="1" applyFont="1" applyFill="1" applyAlignment="1">
      <alignment horizontal="right"/>
    </xf>
    <xf numFmtId="1" fontId="2" fillId="5" borderId="0" xfId="0" applyNumberFormat="1" applyFont="1" applyFill="1" applyAlignment="1">
      <alignment horizontal="right"/>
    </xf>
    <xf numFmtId="1" fontId="9" fillId="5" borderId="0" xfId="0" applyNumberFormat="1" applyFont="1" applyFill="1" applyAlignment="1">
      <alignment horizontal="right"/>
    </xf>
    <xf numFmtId="169" fontId="1" fillId="5" borderId="0" xfId="0" applyNumberFormat="1" applyFont="1" applyFill="1" applyAlignment="1">
      <alignment horizontal="right"/>
    </xf>
    <xf numFmtId="10" fontId="6" fillId="9" borderId="0" xfId="0" applyNumberFormat="1" applyFont="1" applyFill="1" applyAlignment="1">
      <alignment horizontal="center" wrapText="1"/>
    </xf>
    <xf numFmtId="1" fontId="30" fillId="2" borderId="0" xfId="0" applyNumberFormat="1" applyFont="1" applyFill="1" applyAlignment="1">
      <alignment horizontal="right"/>
    </xf>
    <xf numFmtId="0" fontId="31" fillId="2" borderId="0" xfId="0" applyFont="1" applyFill="1" applyAlignment="1">
      <alignment horizontal="right"/>
    </xf>
    <xf numFmtId="0" fontId="28" fillId="0" borderId="0" xfId="0" applyFont="1"/>
    <xf numFmtId="0" fontId="32" fillId="0" borderId="0" xfId="0" applyFont="1"/>
    <xf numFmtId="1" fontId="33" fillId="0" borderId="0" xfId="0" applyNumberFormat="1" applyFont="1" applyAlignment="1">
      <alignment horizontal="right"/>
    </xf>
    <xf numFmtId="1" fontId="34" fillId="0" borderId="0" xfId="0" applyNumberFormat="1" applyFont="1" applyAlignment="1">
      <alignment horizontal="right"/>
    </xf>
    <xf numFmtId="1" fontId="35" fillId="0" borderId="0" xfId="0" applyNumberFormat="1" applyFont="1" applyAlignment="1">
      <alignment horizontal="right"/>
    </xf>
    <xf numFmtId="164" fontId="8" fillId="5" borderId="0" xfId="0" applyNumberFormat="1" applyFont="1" applyFill="1" applyAlignment="1">
      <alignment horizontal="right"/>
    </xf>
    <xf numFmtId="1" fontId="36" fillId="5" borderId="0" xfId="0" applyNumberFormat="1" applyFont="1" applyFill="1" applyAlignment="1">
      <alignment horizontal="right"/>
    </xf>
    <xf numFmtId="1" fontId="37" fillId="5" borderId="0" xfId="0" applyNumberFormat="1" applyFont="1" applyFill="1" applyAlignment="1">
      <alignment horizontal="right"/>
    </xf>
    <xf numFmtId="165" fontId="1" fillId="7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right"/>
    </xf>
    <xf numFmtId="1" fontId="38" fillId="7" borderId="0" xfId="0" applyNumberFormat="1" applyFont="1" applyFill="1" applyAlignment="1">
      <alignment horizontal="right"/>
    </xf>
    <xf numFmtId="1" fontId="2" fillId="7" borderId="0" xfId="0" applyNumberFormat="1" applyFont="1" applyFill="1" applyAlignment="1">
      <alignment horizontal="right"/>
    </xf>
    <xf numFmtId="1" fontId="9" fillId="7" borderId="0" xfId="0" applyNumberFormat="1" applyFont="1" applyFill="1" applyAlignment="1">
      <alignment horizontal="right"/>
    </xf>
    <xf numFmtId="166" fontId="1" fillId="9" borderId="0" xfId="0" applyNumberFormat="1" applyFont="1" applyFill="1" applyAlignment="1">
      <alignment horizontal="right"/>
    </xf>
    <xf numFmtId="0" fontId="1" fillId="9" borderId="0" xfId="0" applyFont="1" applyFill="1" applyAlignment="1">
      <alignment horizontal="right"/>
    </xf>
    <xf numFmtId="1" fontId="39" fillId="9" borderId="0" xfId="0" applyNumberFormat="1" applyFont="1" applyFill="1" applyAlignment="1">
      <alignment horizontal="right"/>
    </xf>
    <xf numFmtId="1" fontId="2" fillId="9" borderId="0" xfId="0" applyNumberFormat="1" applyFont="1" applyFill="1" applyAlignment="1">
      <alignment horizontal="right"/>
    </xf>
    <xf numFmtId="1" fontId="9" fillId="9" borderId="0" xfId="0" applyNumberFormat="1" applyFont="1" applyFill="1" applyAlignment="1">
      <alignment horizontal="right"/>
    </xf>
    <xf numFmtId="1" fontId="40" fillId="0" borderId="0" xfId="0" applyNumberFormat="1" applyFont="1" applyAlignment="1">
      <alignment horizontal="right"/>
    </xf>
    <xf numFmtId="174" fontId="1" fillId="0" borderId="0" xfId="0" applyNumberFormat="1" applyFont="1" applyAlignment="1">
      <alignment horizontal="right"/>
    </xf>
    <xf numFmtId="166" fontId="1" fillId="5" borderId="0" xfId="0" applyNumberFormat="1" applyFont="1" applyFill="1" applyAlignment="1">
      <alignment horizontal="right"/>
    </xf>
    <xf numFmtId="1" fontId="41" fillId="5" borderId="0" xfId="0" applyNumberFormat="1" applyFont="1" applyFill="1" applyAlignment="1">
      <alignment horizontal="right"/>
    </xf>
    <xf numFmtId="166" fontId="1" fillId="8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right"/>
    </xf>
    <xf numFmtId="1" fontId="42" fillId="8" borderId="0" xfId="0" applyNumberFormat="1" applyFont="1" applyFill="1" applyAlignment="1">
      <alignment horizontal="right"/>
    </xf>
    <xf numFmtId="1" fontId="2" fillId="8" borderId="0" xfId="0" applyNumberFormat="1" applyFont="1" applyFill="1" applyAlignment="1">
      <alignment horizontal="right"/>
    </xf>
    <xf numFmtId="1" fontId="9" fillId="8" borderId="0" xfId="0" applyNumberFormat="1" applyFont="1" applyFill="1" applyAlignment="1">
      <alignment horizontal="right"/>
    </xf>
    <xf numFmtId="166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1" fontId="43" fillId="6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1" fontId="9" fillId="6" borderId="0" xfId="0" applyNumberFormat="1" applyFont="1" applyFill="1" applyAlignment="1">
      <alignment horizontal="right"/>
    </xf>
    <xf numFmtId="167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" fontId="44" fillId="0" borderId="0" xfId="0" applyNumberFormat="1" applyFont="1" applyAlignment="1">
      <alignment horizontal="right"/>
    </xf>
    <xf numFmtId="169" fontId="16" fillId="5" borderId="1" xfId="0" applyNumberFormat="1" applyFont="1" applyFill="1" applyBorder="1" applyAlignment="1">
      <alignment horizontal="right"/>
    </xf>
    <xf numFmtId="0" fontId="17" fillId="5" borderId="2" xfId="0" applyFont="1" applyFill="1" applyBorder="1" applyAlignment="1">
      <alignment horizontal="right"/>
    </xf>
    <xf numFmtId="1" fontId="45" fillId="5" borderId="2" xfId="0" applyNumberFormat="1" applyFont="1" applyFill="1" applyBorder="1" applyAlignment="1">
      <alignment horizontal="right"/>
    </xf>
    <xf numFmtId="1" fontId="18" fillId="5" borderId="2" xfId="0" applyNumberFormat="1" applyFont="1" applyFill="1" applyBorder="1" applyAlignment="1">
      <alignment horizontal="right"/>
    </xf>
    <xf numFmtId="1" fontId="19" fillId="5" borderId="3" xfId="0" applyNumberFormat="1" applyFont="1" applyFill="1" applyBorder="1" applyAlignment="1">
      <alignment horizontal="right"/>
    </xf>
    <xf numFmtId="169" fontId="1" fillId="7" borderId="0" xfId="0" applyNumberFormat="1" applyFont="1" applyFill="1" applyAlignment="1">
      <alignment horizontal="right"/>
    </xf>
    <xf numFmtId="1" fontId="46" fillId="7" borderId="0" xfId="0" applyNumberFormat="1" applyFont="1" applyFill="1" applyAlignment="1">
      <alignment horizontal="right"/>
    </xf>
    <xf numFmtId="1" fontId="47" fillId="5" borderId="0" xfId="0" applyNumberFormat="1" applyFont="1" applyFill="1" applyAlignment="1">
      <alignment horizontal="right"/>
    </xf>
    <xf numFmtId="0" fontId="20" fillId="0" borderId="0" xfId="0" applyFont="1" applyAlignment="1">
      <alignment horizontal="right"/>
    </xf>
    <xf numFmtId="1" fontId="48" fillId="0" borderId="0" xfId="0" applyNumberFormat="1" applyFont="1" applyAlignment="1">
      <alignment horizontal="right"/>
    </xf>
    <xf numFmtId="170" fontId="20" fillId="0" borderId="0" xfId="0" applyNumberFormat="1" applyFont="1" applyAlignment="1">
      <alignment horizontal="right"/>
    </xf>
    <xf numFmtId="0" fontId="49" fillId="0" borderId="0" xfId="0" applyFont="1" applyAlignment="1">
      <alignment horizontal="right"/>
    </xf>
    <xf numFmtId="1" fontId="50" fillId="0" borderId="0" xfId="0" applyNumberFormat="1" applyFont="1" applyAlignment="1">
      <alignment horizontal="right"/>
    </xf>
    <xf numFmtId="1" fontId="51" fillId="0" borderId="0" xfId="0" applyNumberFormat="1" applyFont="1" applyAlignment="1">
      <alignment horizontal="right"/>
    </xf>
    <xf numFmtId="170" fontId="1" fillId="10" borderId="0" xfId="0" applyNumberFormat="1" applyFont="1" applyFill="1" applyAlignment="1">
      <alignment horizontal="right"/>
    </xf>
    <xf numFmtId="0" fontId="1" fillId="10" borderId="0" xfId="0" applyFont="1" applyFill="1" applyAlignment="1">
      <alignment horizontal="right"/>
    </xf>
    <xf numFmtId="1" fontId="52" fillId="10" borderId="0" xfId="0" applyNumberFormat="1" applyFont="1" applyFill="1" applyAlignment="1">
      <alignment horizontal="right"/>
    </xf>
    <xf numFmtId="1" fontId="2" fillId="10" borderId="0" xfId="0" applyNumberFormat="1" applyFont="1" applyFill="1" applyAlignment="1">
      <alignment horizontal="right"/>
    </xf>
    <xf numFmtId="171" fontId="1" fillId="0" borderId="0" xfId="0" applyNumberFormat="1" applyFont="1" applyAlignment="1">
      <alignment horizontal="right"/>
    </xf>
    <xf numFmtId="170" fontId="1" fillId="11" borderId="0" xfId="0" applyNumberFormat="1" applyFont="1" applyFill="1" applyAlignment="1">
      <alignment horizontal="right"/>
    </xf>
    <xf numFmtId="0" fontId="1" fillId="11" borderId="0" xfId="0" applyFont="1" applyFill="1" applyAlignment="1">
      <alignment horizontal="right"/>
    </xf>
    <xf numFmtId="1" fontId="53" fillId="11" borderId="0" xfId="0" applyNumberFormat="1" applyFont="1" applyFill="1" applyAlignment="1">
      <alignment horizontal="right"/>
    </xf>
    <xf numFmtId="1" fontId="2" fillId="11" borderId="0" xfId="0" applyNumberFormat="1" applyFont="1" applyFill="1" applyAlignment="1">
      <alignment horizontal="right"/>
    </xf>
    <xf numFmtId="1" fontId="9" fillId="11" borderId="0" xfId="0" applyNumberFormat="1" applyFont="1" applyFill="1" applyAlignment="1">
      <alignment horizontal="right"/>
    </xf>
    <xf numFmtId="170" fontId="1" fillId="5" borderId="0" xfId="0" applyNumberFormat="1" applyFont="1" applyFill="1" applyAlignment="1">
      <alignment horizontal="right"/>
    </xf>
    <xf numFmtId="170" fontId="1" fillId="9" borderId="0" xfId="0" applyNumberFormat="1" applyFont="1" applyFill="1" applyAlignment="1">
      <alignment horizontal="right"/>
    </xf>
    <xf numFmtId="1" fontId="54" fillId="9" borderId="0" xfId="0" applyNumberFormat="1" applyFont="1" applyFill="1" applyAlignment="1">
      <alignment horizontal="right"/>
    </xf>
    <xf numFmtId="169" fontId="1" fillId="8" borderId="0" xfId="0" applyNumberFormat="1" applyFont="1" applyFill="1" applyAlignment="1">
      <alignment horizontal="right"/>
    </xf>
    <xf numFmtId="1" fontId="55" fillId="8" borderId="0" xfId="0" applyNumberFormat="1" applyFont="1" applyFill="1" applyAlignment="1">
      <alignment horizontal="right"/>
    </xf>
    <xf numFmtId="1" fontId="2" fillId="12" borderId="0" xfId="0" applyNumberFormat="1" applyFont="1" applyFill="1" applyAlignment="1">
      <alignment horizontal="right"/>
    </xf>
    <xf numFmtId="1" fontId="56" fillId="7" borderId="0" xfId="0" applyNumberFormat="1" applyFont="1" applyFill="1" applyAlignment="1">
      <alignment horizontal="right"/>
    </xf>
    <xf numFmtId="173" fontId="1" fillId="0" borderId="0" xfId="0" applyNumberFormat="1" applyFont="1" applyAlignment="1">
      <alignment horizontal="right"/>
    </xf>
    <xf numFmtId="0" fontId="8" fillId="0" borderId="0" xfId="0" applyFont="1"/>
    <xf numFmtId="169" fontId="8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57" fillId="0" borderId="1" xfId="0" applyFont="1" applyBorder="1"/>
    <xf numFmtId="0" fontId="57" fillId="0" borderId="2" xfId="0" applyFont="1" applyBorder="1" applyAlignment="1">
      <alignment horizontal="right"/>
    </xf>
    <xf numFmtId="1" fontId="57" fillId="0" borderId="2" xfId="0" applyNumberFormat="1" applyFont="1" applyBorder="1" applyAlignment="1">
      <alignment horizontal="right"/>
    </xf>
    <xf numFmtId="1" fontId="57" fillId="2" borderId="3" xfId="0" applyNumberFormat="1" applyFont="1" applyFill="1" applyBorder="1" applyAlignment="1">
      <alignment horizontal="right"/>
    </xf>
    <xf numFmtId="175" fontId="6" fillId="5" borderId="0" xfId="0" applyNumberFormat="1" applyFont="1" applyFill="1" applyAlignment="1">
      <alignment horizontal="center" wrapText="1"/>
    </xf>
    <xf numFmtId="176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0" fontId="58" fillId="0" borderId="0" xfId="0" applyFont="1"/>
    <xf numFmtId="0" fontId="59" fillId="0" borderId="0" xfId="0" applyFont="1"/>
    <xf numFmtId="170" fontId="58" fillId="0" borderId="0" xfId="0" applyNumberFormat="1" applyFont="1" applyAlignment="1">
      <alignment horizontal="right"/>
    </xf>
    <xf numFmtId="0" fontId="60" fillId="0" borderId="0" xfId="0" applyFont="1"/>
    <xf numFmtId="0" fontId="58" fillId="0" borderId="0" xfId="0" applyFont="1" applyAlignment="1">
      <alignment horizontal="right"/>
    </xf>
    <xf numFmtId="10" fontId="58" fillId="0" borderId="0" xfId="0" applyNumberFormat="1" applyFont="1" applyAlignment="1">
      <alignment horizontal="right"/>
    </xf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172" fontId="58" fillId="0" borderId="0" xfId="0" applyNumberFormat="1" applyFont="1" applyAlignment="1">
      <alignment horizontal="right"/>
    </xf>
    <xf numFmtId="0" fontId="65" fillId="0" borderId="0" xfId="0" applyFont="1"/>
    <xf numFmtId="0" fontId="66" fillId="0" borderId="0" xfId="0" applyFont="1" applyAlignment="1">
      <alignment horizontal="right"/>
    </xf>
    <xf numFmtId="178" fontId="58" fillId="0" borderId="0" xfId="0" applyNumberFormat="1" applyFont="1" applyAlignment="1">
      <alignment horizontal="right"/>
    </xf>
    <xf numFmtId="165" fontId="58" fillId="0" borderId="0" xfId="0" applyNumberFormat="1" applyFont="1" applyAlignment="1">
      <alignment horizontal="right"/>
    </xf>
    <xf numFmtId="0" fontId="67" fillId="0" borderId="0" xfId="0" applyFont="1"/>
    <xf numFmtId="10" fontId="67" fillId="0" borderId="0" xfId="0" applyNumberFormat="1" applyFont="1" applyAlignment="1">
      <alignment horizontal="right"/>
    </xf>
    <xf numFmtId="0" fontId="68" fillId="5" borderId="0" xfId="0" applyFont="1" applyFill="1"/>
    <xf numFmtId="9" fontId="58" fillId="0" borderId="0" xfId="0" applyNumberFormat="1" applyFont="1" applyAlignment="1">
      <alignment horizontal="right"/>
    </xf>
    <xf numFmtId="0" fontId="58" fillId="0" borderId="0" xfId="0" applyFont="1"/>
    <xf numFmtId="0" fontId="0" fillId="0" borderId="0" xfId="0"/>
    <xf numFmtId="0" fontId="64" fillId="0" borderId="0" xfId="0" applyFont="1"/>
    <xf numFmtId="0" fontId="0" fillId="0" borderId="0" xfId="0" applyAlignment="1">
      <alignment horizontal="right"/>
    </xf>
    <xf numFmtId="1" fontId="4" fillId="0" borderId="0" xfId="0" applyNumberFormat="1" applyFont="1" applyAlignment="1">
      <alignment horizontal="right"/>
    </xf>
    <xf numFmtId="10" fontId="6" fillId="3" borderId="0" xfId="0" applyNumberFormat="1" applyFont="1" applyFill="1" applyAlignment="1">
      <alignment horizontal="right" wrapText="1"/>
    </xf>
    <xf numFmtId="10" fontId="6" fillId="5" borderId="0" xfId="0" applyNumberFormat="1" applyFont="1" applyFill="1" applyAlignment="1">
      <alignment horizontal="right" wrapText="1"/>
    </xf>
    <xf numFmtId="10" fontId="6" fillId="7" borderId="0" xfId="0" applyNumberFormat="1" applyFont="1" applyFill="1" applyAlignment="1">
      <alignment horizontal="right" wrapText="1"/>
    </xf>
    <xf numFmtId="10" fontId="6" fillId="9" borderId="0" xfId="0" applyNumberFormat="1" applyFont="1" applyFill="1" applyAlignment="1">
      <alignment horizontal="right" wrapText="1"/>
    </xf>
    <xf numFmtId="10" fontId="6" fillId="6" borderId="0" xfId="0" applyNumberFormat="1" applyFont="1" applyFill="1" applyAlignment="1">
      <alignment horizontal="right" wrapText="1"/>
    </xf>
    <xf numFmtId="168" fontId="15" fillId="0" borderId="0" xfId="0" applyNumberFormat="1" applyFont="1" applyAlignment="1">
      <alignment horizontal="right"/>
    </xf>
    <xf numFmtId="10" fontId="6" fillId="2" borderId="0" xfId="0" applyNumberFormat="1" applyFont="1" applyFill="1" applyAlignment="1">
      <alignment horizontal="right" wrapText="1"/>
    </xf>
    <xf numFmtId="10" fontId="6" fillId="11" borderId="0" xfId="0" applyNumberFormat="1" applyFont="1" applyFill="1" applyAlignment="1">
      <alignment horizontal="right" wrapText="1"/>
    </xf>
    <xf numFmtId="168" fontId="21" fillId="0" borderId="0" xfId="0" applyNumberFormat="1" applyFont="1" applyAlignment="1">
      <alignment horizontal="right"/>
    </xf>
    <xf numFmtId="10" fontId="6" fillId="8" borderId="0" xfId="0" applyNumberFormat="1" applyFont="1" applyFill="1" applyAlignment="1">
      <alignment horizontal="right" wrapText="1"/>
    </xf>
    <xf numFmtId="172" fontId="1" fillId="5" borderId="0" xfId="0" applyNumberFormat="1" applyFont="1" applyFill="1" applyAlignment="1">
      <alignment horizontal="right"/>
    </xf>
    <xf numFmtId="172" fontId="1" fillId="0" borderId="0" xfId="0" applyNumberFormat="1" applyFont="1" applyAlignment="1">
      <alignment horizontal="right"/>
    </xf>
    <xf numFmtId="170" fontId="1" fillId="7" borderId="0" xfId="0" applyNumberFormat="1" applyFont="1" applyFill="1" applyAlignment="1">
      <alignment horizontal="right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170" fontId="28" fillId="0" borderId="0" xfId="0" applyNumberFormat="1" applyFont="1" applyAlignment="1">
      <alignment horizontal="right"/>
    </xf>
    <xf numFmtId="1" fontId="29" fillId="13" borderId="0" xfId="0" applyNumberFormat="1" applyFont="1" applyFill="1" applyAlignment="1">
      <alignment horizontal="right"/>
    </xf>
    <xf numFmtId="0" fontId="28" fillId="0" borderId="0" xfId="0" applyFont="1" applyAlignment="1">
      <alignment horizontal="right"/>
    </xf>
    <xf numFmtId="0" fontId="32" fillId="0" borderId="0" xfId="0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.tradingview.com/chart/SANDUMA/5WFxSX8D-SANDUM/" TargetMode="External"/><Relationship Id="rId21" Type="http://schemas.openxmlformats.org/officeDocument/2006/relationships/hyperlink" Target="https://in.tradingview.com/chart/KFINTECH/5rruA1hx-KFINTECH/" TargetMode="External"/><Relationship Id="rId42" Type="http://schemas.openxmlformats.org/officeDocument/2006/relationships/hyperlink" Target="https://in.tradingview.com/chart/CGPOWER/jnRxtx16-CGPOWER-Supply-and-Demand-Zone/" TargetMode="External"/><Relationship Id="rId63" Type="http://schemas.openxmlformats.org/officeDocument/2006/relationships/hyperlink" Target="https://social.stockedge.com/posts/086843ba-cdc3-4c3c-b90f-56089fb3a058" TargetMode="External"/><Relationship Id="rId84" Type="http://schemas.openxmlformats.org/officeDocument/2006/relationships/hyperlink" Target="https://in.tradingview.com/chart/GESHIP/V8qNI00C-GESHIP/" TargetMode="External"/><Relationship Id="rId138" Type="http://schemas.openxmlformats.org/officeDocument/2006/relationships/hyperlink" Target="https://in.tradingview.com/chart/ACE/SYsfQ7ga-ACE/" TargetMode="External"/><Relationship Id="rId159" Type="http://schemas.openxmlformats.org/officeDocument/2006/relationships/hyperlink" Target="https://in.tradingview.com/chart/GODFRYPHLP/V7LHI1Ns-GODFRYPHLP/" TargetMode="External"/><Relationship Id="rId170" Type="http://schemas.openxmlformats.org/officeDocument/2006/relationships/hyperlink" Target="https://in.tradingview.com/chart/EMIL/NxkIc0lo-EMIL/" TargetMode="External"/><Relationship Id="rId191" Type="http://schemas.openxmlformats.org/officeDocument/2006/relationships/hyperlink" Target="https://in.tradingview.com/chart/M&amp;MFIN/NK8jfdUT-M-MFIN/" TargetMode="External"/><Relationship Id="rId205" Type="http://schemas.openxmlformats.org/officeDocument/2006/relationships/hyperlink" Target="https://in.tradingview.com/chart/AVALON/KCGrElM1-AVALON/" TargetMode="External"/><Relationship Id="rId226" Type="http://schemas.openxmlformats.org/officeDocument/2006/relationships/hyperlink" Target="https://in.tradingview.com/chart/VINCOFE/iR0bp1ra-vintage-coffee/" TargetMode="External"/><Relationship Id="rId107" Type="http://schemas.openxmlformats.org/officeDocument/2006/relationships/hyperlink" Target="https://www.tradingview.com/chart/SHREEPUSHK/jxKZI2Ag-SHREEPUSHKAR/" TargetMode="External"/><Relationship Id="rId11" Type="http://schemas.openxmlformats.org/officeDocument/2006/relationships/hyperlink" Target="https://social.stockedge.com/posts/e9f3b418-4a0b-4902-b22e-c22f0e1b2c76" TargetMode="External"/><Relationship Id="rId32" Type="http://schemas.openxmlformats.org/officeDocument/2006/relationships/hyperlink" Target="https://in.tradingview.com/chart/JKPAPER/priIaGmO-JKPAPER/" TargetMode="External"/><Relationship Id="rId53" Type="http://schemas.openxmlformats.org/officeDocument/2006/relationships/hyperlink" Target="https://social.stockedge.com/posts/8fcebe4b-5285-44ec-ab42-146e76c24fd8" TargetMode="External"/><Relationship Id="rId74" Type="http://schemas.openxmlformats.org/officeDocument/2006/relationships/hyperlink" Target="https://x.com/sm_harmonic/status/1962031671404011972" TargetMode="External"/><Relationship Id="rId128" Type="http://schemas.openxmlformats.org/officeDocument/2006/relationships/hyperlink" Target="https://in.tradingview.com/chart/NH/pCwg1aTs-NH/" TargetMode="External"/><Relationship Id="rId149" Type="http://schemas.openxmlformats.org/officeDocument/2006/relationships/hyperlink" Target="https://in.tradingview.com/chart/BLS/kp3WZbCt-BLS/" TargetMode="External"/><Relationship Id="rId5" Type="http://schemas.openxmlformats.org/officeDocument/2006/relationships/hyperlink" Target="https://social.stockedge.com/posts/ca6e9193-550b-4c53-9020-08d6ea0e05fe" TargetMode="External"/><Relationship Id="rId95" Type="http://schemas.openxmlformats.org/officeDocument/2006/relationships/hyperlink" Target="https://in.tradingview.com/chart/PCBL/P7O9HFmn-PCBL/" TargetMode="External"/><Relationship Id="rId160" Type="http://schemas.openxmlformats.org/officeDocument/2006/relationships/hyperlink" Target="https://in.tradingview.com/chart/ADANIPORTS/LzBvyTEw-Adaniports/" TargetMode="External"/><Relationship Id="rId181" Type="http://schemas.openxmlformats.org/officeDocument/2006/relationships/hyperlink" Target="https://in.tradingview.com/chart/360ONE/Zs9fT8CB-360ONE/" TargetMode="External"/><Relationship Id="rId216" Type="http://schemas.openxmlformats.org/officeDocument/2006/relationships/hyperlink" Target="https://in.tradingview.com/chart/GLENMARK/U51Amfmt-Glenmark/" TargetMode="External"/><Relationship Id="rId22" Type="http://schemas.openxmlformats.org/officeDocument/2006/relationships/hyperlink" Target="https://in.tradingview.com/chart/CHENNPETRO/v9E4XFZd-ChennaiPetro/" TargetMode="External"/><Relationship Id="rId43" Type="http://schemas.openxmlformats.org/officeDocument/2006/relationships/hyperlink" Target="https://in.tradingview.com/chart/DMART/b0JycjfX-DMART-supplyanddemand-zone/" TargetMode="External"/><Relationship Id="rId64" Type="http://schemas.openxmlformats.org/officeDocument/2006/relationships/hyperlink" Target="https://in.tradingview.com/chart/NMDC/1eJvmwRn-NMDC/" TargetMode="External"/><Relationship Id="rId118" Type="http://schemas.openxmlformats.org/officeDocument/2006/relationships/hyperlink" Target="https://in.tradingview.com/chart/MOBIKWIK/jI9X1GoU-MOBIK/" TargetMode="External"/><Relationship Id="rId139" Type="http://schemas.openxmlformats.org/officeDocument/2006/relationships/hyperlink" Target="https://in.tradingview.com/chart/JIOFIN/Cm36pqsa-JIOFINANCE/" TargetMode="External"/><Relationship Id="rId85" Type="http://schemas.openxmlformats.org/officeDocument/2006/relationships/hyperlink" Target="https://in.tradingview.com/chart/BHARTIARTL/yJu8C2hz-BHARTIAIRTEL/" TargetMode="External"/><Relationship Id="rId150" Type="http://schemas.openxmlformats.org/officeDocument/2006/relationships/hyperlink" Target="https://in.tradingview.com/chart/ENRIN/a8VisiDV-ENRIN/" TargetMode="External"/><Relationship Id="rId171" Type="http://schemas.openxmlformats.org/officeDocument/2006/relationships/hyperlink" Target="https://in.tradingview.com/chart/IGL/6mg0kKe1-IGL/" TargetMode="External"/><Relationship Id="rId192" Type="http://schemas.openxmlformats.org/officeDocument/2006/relationships/hyperlink" Target="https://in.tradingview.com/chart/HDFCLIFE/ba4zrCYD-HDFCLIFE/" TargetMode="External"/><Relationship Id="rId206" Type="http://schemas.openxmlformats.org/officeDocument/2006/relationships/hyperlink" Target="https://in.tradingview.com/chart/ACUTAAS/m2z2oKzp-ACUTAAS/" TargetMode="External"/><Relationship Id="rId227" Type="http://schemas.openxmlformats.org/officeDocument/2006/relationships/hyperlink" Target="https://in.tradingview.com/chart/RPGLIFE/41u7fOMy-RPGLIFE/" TargetMode="External"/><Relationship Id="rId12" Type="http://schemas.openxmlformats.org/officeDocument/2006/relationships/hyperlink" Target="https://social.stockedge.com/posts/c054db45-ca16-4166-a1cd-34592ea7510b" TargetMode="External"/><Relationship Id="rId33" Type="http://schemas.openxmlformats.org/officeDocument/2006/relationships/hyperlink" Target="https://in.tradingview.com/chart/IDFCFIRSTB/E8jW1u8W-IDFCFIRSTBANK/" TargetMode="External"/><Relationship Id="rId108" Type="http://schemas.openxmlformats.org/officeDocument/2006/relationships/hyperlink" Target="https://in.tradingview.com/chart/BANKNIFTY/0D7FsXs3-Banknifty/" TargetMode="External"/><Relationship Id="rId129" Type="http://schemas.openxmlformats.org/officeDocument/2006/relationships/hyperlink" Target="https://in.tradingview.com/chart/NATIONALUM/eeztmcgM-National-Aluminium/" TargetMode="External"/><Relationship Id="rId54" Type="http://schemas.openxmlformats.org/officeDocument/2006/relationships/hyperlink" Target="https://in.tradingview.com/chart/PGEL/B2AZZLuX-PGEL/" TargetMode="External"/><Relationship Id="rId75" Type="http://schemas.openxmlformats.org/officeDocument/2006/relationships/hyperlink" Target="https://social.stockedge.com/posts/484ed683-25ae-4e0d-979a-ad44da12d1e2" TargetMode="External"/><Relationship Id="rId96" Type="http://schemas.openxmlformats.org/officeDocument/2006/relationships/hyperlink" Target="https://in.tradingview.com/chart/ADANIPOWER/qnvzxM8B-Adanipower/" TargetMode="External"/><Relationship Id="rId140" Type="http://schemas.openxmlformats.org/officeDocument/2006/relationships/hyperlink" Target="https://in.tradingview.com/chart/BIRLACORPN/QhY27cBQ-Birla-Corp/" TargetMode="External"/><Relationship Id="rId161" Type="http://schemas.openxmlformats.org/officeDocument/2006/relationships/hyperlink" Target="https://in.tradingview.com/chart/ADANIPOWER/TA3Ovvp5-Adanipower/" TargetMode="External"/><Relationship Id="rId182" Type="http://schemas.openxmlformats.org/officeDocument/2006/relationships/hyperlink" Target="https://in.tradingview.com/chart/CESC/FM5p56oN-CESC/" TargetMode="External"/><Relationship Id="rId217" Type="http://schemas.openxmlformats.org/officeDocument/2006/relationships/hyperlink" Target="https://in.tradingview.com/chart/BHARATFORG/wGFyfP5g-BHARATFORGE/" TargetMode="External"/><Relationship Id="rId6" Type="http://schemas.openxmlformats.org/officeDocument/2006/relationships/hyperlink" Target="https://social.stockedge.com/posts/f5091f53-8b2a-4b85-ba68-d646e12bbc52" TargetMode="External"/><Relationship Id="rId23" Type="http://schemas.openxmlformats.org/officeDocument/2006/relationships/hyperlink" Target="https://in.tradingview.com/chart/AEGISLOG/gEcN9Wwn-Aegis/" TargetMode="External"/><Relationship Id="rId119" Type="http://schemas.openxmlformats.org/officeDocument/2006/relationships/hyperlink" Target="https://in.tradingview.com/chart/AEGISLOG/ff3om5Fw-Aegis/" TargetMode="External"/><Relationship Id="rId44" Type="http://schemas.openxmlformats.org/officeDocument/2006/relationships/hyperlink" Target="https://in.tradingview.com/chart/BHARTIARTL/9mIQ7WG4-BhartiAirtel/" TargetMode="External"/><Relationship Id="rId65" Type="http://schemas.openxmlformats.org/officeDocument/2006/relationships/hyperlink" Target="https://in.tradingview.com/chart/PRICOLLTD/Vd2ymetx-PRICOL/" TargetMode="External"/><Relationship Id="rId86" Type="http://schemas.openxmlformats.org/officeDocument/2006/relationships/hyperlink" Target="https://in.tradingview.com/chart/CHOLAFIN/qa8S3i7g-CHOLAFIN/" TargetMode="External"/><Relationship Id="rId130" Type="http://schemas.openxmlformats.org/officeDocument/2006/relationships/hyperlink" Target="https://in.tradingview.com/chart/GVT&amp;D/kSUYExfB-GVT-D/" TargetMode="External"/><Relationship Id="rId151" Type="http://schemas.openxmlformats.org/officeDocument/2006/relationships/hyperlink" Target="https://in.tradingview.com/chart/KFINTECH/o3nckPJs-KFINTECH/" TargetMode="External"/><Relationship Id="rId172" Type="http://schemas.openxmlformats.org/officeDocument/2006/relationships/hyperlink" Target="https://in.tradingview.com/chart/ABDL/Ksrb54xL-ABDL/" TargetMode="External"/><Relationship Id="rId193" Type="http://schemas.openxmlformats.org/officeDocument/2006/relationships/hyperlink" Target="https://in.tradingview.com/chart/INDUSINDBK/a7je18L2-Indusindbk/" TargetMode="External"/><Relationship Id="rId207" Type="http://schemas.openxmlformats.org/officeDocument/2006/relationships/hyperlink" Target="https://in.tradingview.com/chart/SMLMAH/jImu1xK4-SMLISUZU/" TargetMode="External"/><Relationship Id="rId228" Type="http://schemas.openxmlformats.org/officeDocument/2006/relationships/hyperlink" Target="https://in.tradingview.com/chart/PNBHOUSING/TbB1PRIu-PNBHSGFIN/" TargetMode="External"/><Relationship Id="rId13" Type="http://schemas.openxmlformats.org/officeDocument/2006/relationships/hyperlink" Target="https://social.stockedge.com/stock/titan-company/1409/posts" TargetMode="External"/><Relationship Id="rId109" Type="http://schemas.openxmlformats.org/officeDocument/2006/relationships/hyperlink" Target="https://in.tradingview.com/chart/AGI/NVpXbmdv-AGI/" TargetMode="External"/><Relationship Id="rId34" Type="http://schemas.openxmlformats.org/officeDocument/2006/relationships/hyperlink" Target="https://in.tradingview.com/chart/MOTILALOFS/djMkzLyg-Motilalofs/" TargetMode="External"/><Relationship Id="rId55" Type="http://schemas.openxmlformats.org/officeDocument/2006/relationships/hyperlink" Target="https://social.stockedge.com/posts/176e095a-4abb-4207-8553-73df8a6fade1" TargetMode="External"/><Relationship Id="rId76" Type="http://schemas.openxmlformats.org/officeDocument/2006/relationships/hyperlink" Target="https://in.tradingview.com/chart/INTELLECT/qYVoLAM8-Intellect/" TargetMode="External"/><Relationship Id="rId97" Type="http://schemas.openxmlformats.org/officeDocument/2006/relationships/hyperlink" Target="https://in.tradingview.com/chart/NIFTY/yed0ZouU-Nifty-updated-supplyanddemand-zone/" TargetMode="External"/><Relationship Id="rId120" Type="http://schemas.openxmlformats.org/officeDocument/2006/relationships/hyperlink" Target="https://in.tradingview.com/chart/PAYTM/weB4WUKN-Paytm/" TargetMode="External"/><Relationship Id="rId141" Type="http://schemas.openxmlformats.org/officeDocument/2006/relationships/hyperlink" Target="https://in.tradingview.com/chart/TI/xnxng0x1-TILAKNAGAR/" TargetMode="External"/><Relationship Id="rId7" Type="http://schemas.openxmlformats.org/officeDocument/2006/relationships/hyperlink" Target="https://social.stockedge.com/posts/646d471f-a55a-41ad-9515-e0f9e2231bee" TargetMode="External"/><Relationship Id="rId162" Type="http://schemas.openxmlformats.org/officeDocument/2006/relationships/hyperlink" Target="https://in.tradingview.com/chart/HDFCAMC/7fvjBKHH-HDFCAMC/" TargetMode="External"/><Relationship Id="rId183" Type="http://schemas.openxmlformats.org/officeDocument/2006/relationships/hyperlink" Target="https://in.tradingview.com/chart/THERMAX/N34Z55mq-Thermax/" TargetMode="External"/><Relationship Id="rId218" Type="http://schemas.openxmlformats.org/officeDocument/2006/relationships/hyperlink" Target="https://in.tradingview.com/chart/APOLLO/MenjRnY5-Apollo/" TargetMode="External"/><Relationship Id="rId24" Type="http://schemas.openxmlformats.org/officeDocument/2006/relationships/hyperlink" Target="https://social.stockedge.com/posts/1b6d182a-2091-4067-ac94-3afe1445ce33" TargetMode="External"/><Relationship Id="rId45" Type="http://schemas.openxmlformats.org/officeDocument/2006/relationships/hyperlink" Target="https://in.tradingview.com/chart/PNB/I5nmQnuh-PNB/" TargetMode="External"/><Relationship Id="rId66" Type="http://schemas.openxmlformats.org/officeDocument/2006/relationships/hyperlink" Target="https://social.stockedge.com/posts/50d92e8e-5387-4eed-ada2-d5a8c395f766" TargetMode="External"/><Relationship Id="rId87" Type="http://schemas.openxmlformats.org/officeDocument/2006/relationships/hyperlink" Target="https://in.tradingview.com/chart/BANCOINDIA/h8csbYfl-Banco-in-alltimehighzone/" TargetMode="External"/><Relationship Id="rId110" Type="http://schemas.openxmlformats.org/officeDocument/2006/relationships/hyperlink" Target="https://in.tradingview.com/chart/LUMAXTECH/x043UTlV-LUMAXTECH/" TargetMode="External"/><Relationship Id="rId131" Type="http://schemas.openxmlformats.org/officeDocument/2006/relationships/hyperlink" Target="https://in.tradingview.com/chart/PRAJIND/YD0hcawV-PRAJIND/" TargetMode="External"/><Relationship Id="rId152" Type="http://schemas.openxmlformats.org/officeDocument/2006/relationships/hyperlink" Target="https://in.tradingview.com/chart/HLEGLAS/ObCTCocI-HLEGLAS/" TargetMode="External"/><Relationship Id="rId173" Type="http://schemas.openxmlformats.org/officeDocument/2006/relationships/hyperlink" Target="https://in.tradingview.com/chart/SAGILITY/NBRg1UtD-Sagility/" TargetMode="External"/><Relationship Id="rId194" Type="http://schemas.openxmlformats.org/officeDocument/2006/relationships/hyperlink" Target="https://in.tradingview.com/chart/ITBEES/L4NpfsNv-ITBEES/" TargetMode="External"/><Relationship Id="rId208" Type="http://schemas.openxmlformats.org/officeDocument/2006/relationships/hyperlink" Target="https://in.tradingview.com/chart/SENORES/zYJNIik8-SENORES/" TargetMode="External"/><Relationship Id="rId229" Type="http://schemas.openxmlformats.org/officeDocument/2006/relationships/hyperlink" Target="https://in.tradingview.com/chart/NUVAMA/jyVsyrQ8-NUVAMA/" TargetMode="External"/><Relationship Id="rId14" Type="http://schemas.openxmlformats.org/officeDocument/2006/relationships/hyperlink" Target="https://in.tradingview.com/chart/KAYNES/Q8c8yXn8-KAYNES/" TargetMode="External"/><Relationship Id="rId35" Type="http://schemas.openxmlformats.org/officeDocument/2006/relationships/hyperlink" Target="https://in.tradingview.com/chart/IDFCFIRSTB/E8jW1u8W-IDFCFIRSTBANK/" TargetMode="External"/><Relationship Id="rId56" Type="http://schemas.openxmlformats.org/officeDocument/2006/relationships/hyperlink" Target="https://in.tradingview.com/chart/ASHAPURMIN/ZRefVvti-ASHAPURMIN/" TargetMode="External"/><Relationship Id="rId77" Type="http://schemas.openxmlformats.org/officeDocument/2006/relationships/hyperlink" Target="https://social.stockedge.com/posts/13eb13ed-6901-4e62-8be8-4d7ca64f5dd5" TargetMode="External"/><Relationship Id="rId100" Type="http://schemas.openxmlformats.org/officeDocument/2006/relationships/hyperlink" Target="https://in.tradingview.com/chart/SWANCORP/Fmv0qdM1-SWAN-Corp/" TargetMode="External"/><Relationship Id="rId8" Type="http://schemas.openxmlformats.org/officeDocument/2006/relationships/hyperlink" Target="https://social.stockedge.com/posts/b0055040-cf23-4603-a936-ef680ae52d1c" TargetMode="External"/><Relationship Id="rId98" Type="http://schemas.openxmlformats.org/officeDocument/2006/relationships/hyperlink" Target="https://in.tradingview.com/chart/ADANIENT/foC6Nh6O-ADANIENT/" TargetMode="External"/><Relationship Id="rId121" Type="http://schemas.openxmlformats.org/officeDocument/2006/relationships/hyperlink" Target="https://in.tradingview.com/chart/SHRIRAMFIN/BAbnUbl5-SHRIRAMFINANCE/" TargetMode="External"/><Relationship Id="rId142" Type="http://schemas.openxmlformats.org/officeDocument/2006/relationships/hyperlink" Target="https://in.tradingview.com/chart/ELECON/N15PwvHb-ELECON/" TargetMode="External"/><Relationship Id="rId163" Type="http://schemas.openxmlformats.org/officeDocument/2006/relationships/hyperlink" Target="https://in.tradingview.com/chart/ASTERDM/MEXf9r0P-Aster-DM/" TargetMode="External"/><Relationship Id="rId184" Type="http://schemas.openxmlformats.org/officeDocument/2006/relationships/hyperlink" Target="https://in.tradingview.com/chart/INDUSTOWER/9hUUdRVy-Industower/" TargetMode="External"/><Relationship Id="rId219" Type="http://schemas.openxmlformats.org/officeDocument/2006/relationships/hyperlink" Target="https://in.tradingview.com/chart/CSBBANK/kVryqmEL-CSBBANK/" TargetMode="External"/><Relationship Id="rId230" Type="http://schemas.openxmlformats.org/officeDocument/2006/relationships/hyperlink" Target="https://in.tradingview.com/chart/ASIANTILES/ISKxwPcJ-ASIANTIL/" TargetMode="External"/><Relationship Id="rId25" Type="http://schemas.openxmlformats.org/officeDocument/2006/relationships/hyperlink" Target="https://in.tradingview.com/chart/NIFTY/uRiiSuVf-Nifty-50/" TargetMode="External"/><Relationship Id="rId46" Type="http://schemas.openxmlformats.org/officeDocument/2006/relationships/hyperlink" Target="https://social.stockedge.com/posts/8dabd2ce-6b4e-4939-9ddf-4e34831c1ea8" TargetMode="External"/><Relationship Id="rId67" Type="http://schemas.openxmlformats.org/officeDocument/2006/relationships/hyperlink" Target="https://in.tradingview.com/chart/INDIGO/eTloycNG-Indigo/" TargetMode="External"/><Relationship Id="rId20" Type="http://schemas.openxmlformats.org/officeDocument/2006/relationships/hyperlink" Target="https://www.tradingview.com/chart/GODFRYPHLP/vLUQo5mD-GODFRYPHLP/" TargetMode="External"/><Relationship Id="rId41" Type="http://schemas.openxmlformats.org/officeDocument/2006/relationships/hyperlink" Target="https://in.tradingview.com/chart/SCI/8QcEGK0M-SCI-supplyanddemand-zone/" TargetMode="External"/><Relationship Id="rId62" Type="http://schemas.openxmlformats.org/officeDocument/2006/relationships/hyperlink" Target="https://in.tradingview.com/chart/ETERNAL/vr6fgfKn-ETERNAL/" TargetMode="External"/><Relationship Id="rId83" Type="http://schemas.openxmlformats.org/officeDocument/2006/relationships/hyperlink" Target="https://in.tradingview.com/chart/MOTILALOFS/djMkzLyg-Motilalofs/" TargetMode="External"/><Relationship Id="rId88" Type="http://schemas.openxmlformats.org/officeDocument/2006/relationships/hyperlink" Target="https://in.tradingview.com/chart/JSWINFRA/qDg9Rc7d-JSWINFRA/" TargetMode="External"/><Relationship Id="rId111" Type="http://schemas.openxmlformats.org/officeDocument/2006/relationships/hyperlink" Target="https://social.stockedge.com/posts/4481f74d-68eb-4b6e-890f-8bb12911f817" TargetMode="External"/><Relationship Id="rId132" Type="http://schemas.openxmlformats.org/officeDocument/2006/relationships/hyperlink" Target="https://in.tradingview.com/chart/MOSCHIP/46rUQbwq-MOSCHIP/" TargetMode="External"/><Relationship Id="rId153" Type="http://schemas.openxmlformats.org/officeDocument/2006/relationships/hyperlink" Target="https://in.tradingview.com/chart/ORIENTTECH/6SzGnhEb-ORIENTTECH/" TargetMode="External"/><Relationship Id="rId174" Type="http://schemas.openxmlformats.org/officeDocument/2006/relationships/hyperlink" Target="https://in.tradingview.com/chart/GMRP&amp;UI/DzoVPiUD-GMRP-UI/" TargetMode="External"/><Relationship Id="rId179" Type="http://schemas.openxmlformats.org/officeDocument/2006/relationships/hyperlink" Target="https://in.tradingview.com/chart/KPIGREEN/rxOsTYzF-KPIGREEN/" TargetMode="External"/><Relationship Id="rId195" Type="http://schemas.openxmlformats.org/officeDocument/2006/relationships/hyperlink" Target="https://in.tradingview.com/chart/IKS/58CrvD6o-IKS/" TargetMode="External"/><Relationship Id="rId209" Type="http://schemas.openxmlformats.org/officeDocument/2006/relationships/hyperlink" Target="https://in.tradingview.com/chart/KARURVYSYA/6839t9qT-KARUR/" TargetMode="External"/><Relationship Id="rId190" Type="http://schemas.openxmlformats.org/officeDocument/2006/relationships/hyperlink" Target="https://in.tradingview.com/chart/AVANTIFEED/2taiOWMX-Avantifeed/" TargetMode="External"/><Relationship Id="rId204" Type="http://schemas.openxmlformats.org/officeDocument/2006/relationships/hyperlink" Target="https://in.tradingview.com/chart/POLICYBZR/drymw4Xh-POLICYBAZAR/" TargetMode="External"/><Relationship Id="rId220" Type="http://schemas.openxmlformats.org/officeDocument/2006/relationships/hyperlink" Target="https://in.tradingview.com/chart/ATHERENERG/wpjVktoF-ATHER-ENERGY/" TargetMode="External"/><Relationship Id="rId225" Type="http://schemas.openxmlformats.org/officeDocument/2006/relationships/hyperlink" Target="https://in.tradingview.com/chart/COALINDIA/BR4qISUM-COALINDIA/" TargetMode="External"/><Relationship Id="rId15" Type="http://schemas.openxmlformats.org/officeDocument/2006/relationships/hyperlink" Target="https://in.tradingview.com/chart/UPL/oqyRDwri-UPL/" TargetMode="External"/><Relationship Id="rId36" Type="http://schemas.openxmlformats.org/officeDocument/2006/relationships/hyperlink" Target="https://social.stockedge.com/posts/8845474d-07bc-42c0-b294-5faa90ac402c" TargetMode="External"/><Relationship Id="rId57" Type="http://schemas.openxmlformats.org/officeDocument/2006/relationships/hyperlink" Target="https://in.tradingview.com/chart/ACUTAAS/fc03fL26-ACUTAAS/" TargetMode="External"/><Relationship Id="rId106" Type="http://schemas.openxmlformats.org/officeDocument/2006/relationships/hyperlink" Target="https://www.tradingview.com/chart/APOLLOTYRE/dKuVyp3I-ApolloTyres/" TargetMode="External"/><Relationship Id="rId127" Type="http://schemas.openxmlformats.org/officeDocument/2006/relationships/hyperlink" Target="https://in.tradingview.com/chart/ORISSAMINE/1FLWtIP2-ORISSAMINS/" TargetMode="External"/><Relationship Id="rId10" Type="http://schemas.openxmlformats.org/officeDocument/2006/relationships/hyperlink" Target="https://social.stockedge.com/posts/d2b69628-ad5e-4875-8759-f6fc5ed204be" TargetMode="External"/><Relationship Id="rId31" Type="http://schemas.openxmlformats.org/officeDocument/2006/relationships/hyperlink" Target="https://in.tradingview.com/chart/NHPC/nKiZ0Xh1-NHPC/" TargetMode="External"/><Relationship Id="rId52" Type="http://schemas.openxmlformats.org/officeDocument/2006/relationships/hyperlink" Target="https://social.stockedge.com/posts/fe388820-120f-4a35-a193-f00ae788cd14" TargetMode="External"/><Relationship Id="rId73" Type="http://schemas.openxmlformats.org/officeDocument/2006/relationships/hyperlink" Target="https://in.tradingview.com/chart/TITAN/6FAKOEBK-TITAN-supplyanddemand-zone/" TargetMode="External"/><Relationship Id="rId78" Type="http://schemas.openxmlformats.org/officeDocument/2006/relationships/hyperlink" Target="https://social.stockedge.com/posts/dcb72538-641d-4c6c-b3e7-25b5bac191a3" TargetMode="External"/><Relationship Id="rId94" Type="http://schemas.openxmlformats.org/officeDocument/2006/relationships/hyperlink" Target="https://in.tradingview.com/chart/REDINGTON/GBLS2fC0-Redington/" TargetMode="External"/><Relationship Id="rId99" Type="http://schemas.openxmlformats.org/officeDocument/2006/relationships/hyperlink" Target="https://in.tradingview.com/chart/NETWEB/SWpE9L79-NetWeb/" TargetMode="External"/><Relationship Id="rId101" Type="http://schemas.openxmlformats.org/officeDocument/2006/relationships/hyperlink" Target="https://in.tradingview.com/chart/SBFC/VZYEG8Va-SBFC-FINANCE/" TargetMode="External"/><Relationship Id="rId122" Type="http://schemas.openxmlformats.org/officeDocument/2006/relationships/hyperlink" Target="https://in.tradingview.com/chart/CHALET/sGgDbGUi-CHALET/" TargetMode="External"/><Relationship Id="rId143" Type="http://schemas.openxmlformats.org/officeDocument/2006/relationships/hyperlink" Target="https://in.tradingview.com/chart/GRSE/a6gP7ajj-GRSE/" TargetMode="External"/><Relationship Id="rId148" Type="http://schemas.openxmlformats.org/officeDocument/2006/relationships/hyperlink" Target="https://in.tradingview.com/chart/CNXIT/LHtLjRbr-CNXIT/" TargetMode="External"/><Relationship Id="rId164" Type="http://schemas.openxmlformats.org/officeDocument/2006/relationships/hyperlink" Target="https://in.tradingview.com/chart/DCBBANK/QYe5Kle9-DCBBNAK/" TargetMode="External"/><Relationship Id="rId169" Type="http://schemas.openxmlformats.org/officeDocument/2006/relationships/hyperlink" Target="https://in.tradingview.com/chart/KPRMILL/ESNW6Ky4-KPRMILLS/" TargetMode="External"/><Relationship Id="rId185" Type="http://schemas.openxmlformats.org/officeDocument/2006/relationships/hyperlink" Target="https://in.tradingview.com/chart/IDBI/cuqpj8Cx-idbi/" TargetMode="External"/><Relationship Id="rId4" Type="http://schemas.openxmlformats.org/officeDocument/2006/relationships/hyperlink" Target="https://social.stockedge.com/posts/4405954e-39df-4a0d-bd19-3ce81bed0ea0" TargetMode="External"/><Relationship Id="rId9" Type="http://schemas.openxmlformats.org/officeDocument/2006/relationships/hyperlink" Target="https://social.stockedge.com/posts/e789c6e0-f9ff-4e79-8ea9-36ce96c87b6c" TargetMode="External"/><Relationship Id="rId180" Type="http://schemas.openxmlformats.org/officeDocument/2006/relationships/hyperlink" Target="https://in.tradingview.com/chart/GMRAIRPORT/56wFsHwg-GMRAIRPORT/" TargetMode="External"/><Relationship Id="rId210" Type="http://schemas.openxmlformats.org/officeDocument/2006/relationships/hyperlink" Target="https://in.tradingview.com/chart/HDFCAMC/YVK0qLlp-HDFCAMC/" TargetMode="External"/><Relationship Id="rId215" Type="http://schemas.openxmlformats.org/officeDocument/2006/relationships/hyperlink" Target="https://in.tradingview.com/chart/FORCEMOT/G7VVUBTd-ForceMotors/" TargetMode="External"/><Relationship Id="rId26" Type="http://schemas.openxmlformats.org/officeDocument/2006/relationships/hyperlink" Target="https://social.stockedge.com/posts/3213d05e-edab-4066-9b64-5a5731f9ef8d" TargetMode="External"/><Relationship Id="rId231" Type="http://schemas.openxmlformats.org/officeDocument/2006/relationships/hyperlink" Target="https://in.tradingview.com/chart/SMCGLOBAL/tL1DUxxy-SMCGLOBAL/" TargetMode="External"/><Relationship Id="rId47" Type="http://schemas.openxmlformats.org/officeDocument/2006/relationships/hyperlink" Target="https://social.stockedge.com/posts/080a8866-14db-4da2-8d2f-b2a1ea7b1c2c" TargetMode="External"/><Relationship Id="rId68" Type="http://schemas.openxmlformats.org/officeDocument/2006/relationships/hyperlink" Target="https://in.tradingview.com/chart/KERNEX/5R0PKAOG-Kernex-CMP-1085-10-Aug-2025/" TargetMode="External"/><Relationship Id="rId89" Type="http://schemas.openxmlformats.org/officeDocument/2006/relationships/hyperlink" Target="https://in.tradingview.com/chart/ITDCEM/M0Xsd72B-ITD-CEMENTATION/" TargetMode="External"/><Relationship Id="rId112" Type="http://schemas.openxmlformats.org/officeDocument/2006/relationships/hyperlink" Target="https://in.tradingview.com/chart/SCI/u0LSzvoU-SCI/" TargetMode="External"/><Relationship Id="rId133" Type="http://schemas.openxmlformats.org/officeDocument/2006/relationships/hyperlink" Target="https://in.tradingview.com/chart/GRSE/jN9cT3nH-GRSE/" TargetMode="External"/><Relationship Id="rId154" Type="http://schemas.openxmlformats.org/officeDocument/2006/relationships/hyperlink" Target="https://in.tradingview.com/chart/GMBREW/9gSCh7IP-GMBREW/" TargetMode="External"/><Relationship Id="rId175" Type="http://schemas.openxmlformats.org/officeDocument/2006/relationships/hyperlink" Target="https://in.tradingview.com/chart/IDFCFIRSTB/17ewdxaR-IDFCFIRSTBANK/" TargetMode="External"/><Relationship Id="rId196" Type="http://schemas.openxmlformats.org/officeDocument/2006/relationships/hyperlink" Target="https://in.tradingview.com/chart/GRAVITA/0rj8mFFQ-GRAVITA/" TargetMode="External"/><Relationship Id="rId200" Type="http://schemas.openxmlformats.org/officeDocument/2006/relationships/hyperlink" Target="https://in.tradingview.com/chart/HCLTECH/AMCyedqf-HCLTECH/" TargetMode="External"/><Relationship Id="rId16" Type="http://schemas.openxmlformats.org/officeDocument/2006/relationships/hyperlink" Target="https://social.stockedge.com/posts/e764f4d4-66df-4cb2-9020-244d328bcd59" TargetMode="External"/><Relationship Id="rId221" Type="http://schemas.openxmlformats.org/officeDocument/2006/relationships/hyperlink" Target="https://in.tradingview.com/chart/FEDFINA/LpigWgRP-FEDFINA/" TargetMode="External"/><Relationship Id="rId37" Type="http://schemas.openxmlformats.org/officeDocument/2006/relationships/hyperlink" Target="https://social.stockedge.com/posts/8d61abab-4876-4ef1-8925-bb477537770c" TargetMode="External"/><Relationship Id="rId58" Type="http://schemas.openxmlformats.org/officeDocument/2006/relationships/hyperlink" Target="https://in.tradingview.com/chart/TATACOMM/FhTK4U0e-TATACOM/" TargetMode="External"/><Relationship Id="rId79" Type="http://schemas.openxmlformats.org/officeDocument/2006/relationships/hyperlink" Target="https://social.stockedge.com/posts/c5dd0525-7543-4f86-ae70-d8d8e94b4a47" TargetMode="External"/><Relationship Id="rId102" Type="http://schemas.openxmlformats.org/officeDocument/2006/relationships/hyperlink" Target="https://in.tradingview.com/chart/HUDCO/TdVmWEsc-HUDCO/" TargetMode="External"/><Relationship Id="rId123" Type="http://schemas.openxmlformats.org/officeDocument/2006/relationships/hyperlink" Target="https://in.tradingview.com/chart/MARUTI/36zwJ1ue-Maruti/" TargetMode="External"/><Relationship Id="rId144" Type="http://schemas.openxmlformats.org/officeDocument/2006/relationships/hyperlink" Target="https://in.tradingview.com/chart/RBLBANK/84QqdWb5-RBLBANK/" TargetMode="External"/><Relationship Id="rId90" Type="http://schemas.openxmlformats.org/officeDocument/2006/relationships/hyperlink" Target="https://in.tradingview.com/chart/PREMEXPLN/SqVpFdXq-PREMEXPLN-next-harmonic-patterns/" TargetMode="External"/><Relationship Id="rId165" Type="http://schemas.openxmlformats.org/officeDocument/2006/relationships/hyperlink" Target="https://in.tradingview.com/chart/TATAINVEST/PXMeDxQo-TATAINVESTMENT/" TargetMode="External"/><Relationship Id="rId186" Type="http://schemas.openxmlformats.org/officeDocument/2006/relationships/hyperlink" Target="https://in.tradingview.com/chart/LATENTVIEW/Tz37OGo9-LATENTVIEW/" TargetMode="External"/><Relationship Id="rId211" Type="http://schemas.openxmlformats.org/officeDocument/2006/relationships/hyperlink" Target="https://in.tradingview.com/chart/PARADEEP/JFs2syg9-PARADEEP/" TargetMode="External"/><Relationship Id="rId232" Type="http://schemas.openxmlformats.org/officeDocument/2006/relationships/hyperlink" Target="https://in.tradingview.com/chart/TARC/bZCT0Eg8-TARC/" TargetMode="External"/><Relationship Id="rId27" Type="http://schemas.openxmlformats.org/officeDocument/2006/relationships/hyperlink" Target="https://in.tradingview.com/chart/ICICIBANK/bW1eWy2q-ICICIBANK/" TargetMode="External"/><Relationship Id="rId48" Type="http://schemas.openxmlformats.org/officeDocument/2006/relationships/hyperlink" Target="https://social.stockedge.com/posts/dcae9f01-6297-4950-96fb-682d717c02bc" TargetMode="External"/><Relationship Id="rId69" Type="http://schemas.openxmlformats.org/officeDocument/2006/relationships/hyperlink" Target="https://social.stockedge.com/posts/68f01f3a-c4fd-401a-9607-b85d3fce6e54" TargetMode="External"/><Relationship Id="rId113" Type="http://schemas.openxmlformats.org/officeDocument/2006/relationships/hyperlink" Target="https://social.stockedge.com/posts/5eee6f80-3c23-4569-8b74-d9bbe0a3d0a6" TargetMode="External"/><Relationship Id="rId134" Type="http://schemas.openxmlformats.org/officeDocument/2006/relationships/hyperlink" Target="https://in.tradingview.com/chart/PARADEEP/fBsnzOGm-PARADEEP/" TargetMode="External"/><Relationship Id="rId80" Type="http://schemas.openxmlformats.org/officeDocument/2006/relationships/hyperlink" Target="https://social.stockedge.com/posts/5464b62c-2931-474d-a020-2c53ed0387a9" TargetMode="External"/><Relationship Id="rId155" Type="http://schemas.openxmlformats.org/officeDocument/2006/relationships/hyperlink" Target="https://in.tradingview.com/chart/MAPMYINDIA/nGLJPnUM-MAPMYINDIA/" TargetMode="External"/><Relationship Id="rId176" Type="http://schemas.openxmlformats.org/officeDocument/2006/relationships/hyperlink" Target="https://in.tradingview.com/chart/BBTC/TBX7t4Fj-BBTC/" TargetMode="External"/><Relationship Id="rId197" Type="http://schemas.openxmlformats.org/officeDocument/2006/relationships/hyperlink" Target="https://in.tradingview.com/chart/ACUTAAS/R4mzgZG4-ACUTAAS/" TargetMode="External"/><Relationship Id="rId201" Type="http://schemas.openxmlformats.org/officeDocument/2006/relationships/hyperlink" Target="https://in.tradingview.com/chart/INFY/P8Ep7BNZ-INFY/" TargetMode="External"/><Relationship Id="rId222" Type="http://schemas.openxmlformats.org/officeDocument/2006/relationships/hyperlink" Target="https://in.tradingview.com/chart/BELRISE/vycDx33U-BELRISE/" TargetMode="External"/><Relationship Id="rId17" Type="http://schemas.openxmlformats.org/officeDocument/2006/relationships/hyperlink" Target="https://social.stockedge.com/posts/cf5d6262-f5f4-4610-9a1e-26cf8504757a" TargetMode="External"/><Relationship Id="rId38" Type="http://schemas.openxmlformats.org/officeDocument/2006/relationships/hyperlink" Target="https://in.tradingview.com/chart/LT/X8SCFSjv-LT/" TargetMode="External"/><Relationship Id="rId59" Type="http://schemas.openxmlformats.org/officeDocument/2006/relationships/hyperlink" Target="https://in.tradingview.com/chart/JSL/1u6Pg9mf-JSL/" TargetMode="External"/><Relationship Id="rId103" Type="http://schemas.openxmlformats.org/officeDocument/2006/relationships/hyperlink" Target="https://www.tradingview.com/chart/CHOLAFIN/fjofxoIg-CHALAFIN-supply-and-demand-zone/" TargetMode="External"/><Relationship Id="rId124" Type="http://schemas.openxmlformats.org/officeDocument/2006/relationships/hyperlink" Target="https://in.tradingview.com/chart/AVALON/NfJJU7ei-AVALON/" TargetMode="External"/><Relationship Id="rId70" Type="http://schemas.openxmlformats.org/officeDocument/2006/relationships/hyperlink" Target="https://in.tradingview.com/chart/ASTERDM/6uWdtb1E-Aster-DM/" TargetMode="External"/><Relationship Id="rId91" Type="http://schemas.openxmlformats.org/officeDocument/2006/relationships/hyperlink" Target="https://social.stockedge.com/posts/8e12ea11-729b-4bce-a1e4-d4ee27b327ea" TargetMode="External"/><Relationship Id="rId145" Type="http://schemas.openxmlformats.org/officeDocument/2006/relationships/hyperlink" Target="https://in.tradingview.com/chart/MOTILALOFS/Q3VGH7tF-MOTILALOFS/" TargetMode="External"/><Relationship Id="rId166" Type="http://schemas.openxmlformats.org/officeDocument/2006/relationships/hyperlink" Target="https://in.tradingview.com/chart/GARUDA/DBJvSb6j-GARUDA/" TargetMode="External"/><Relationship Id="rId187" Type="http://schemas.openxmlformats.org/officeDocument/2006/relationships/hyperlink" Target="https://in.tradingview.com/chart/INDIGO/YiBzcU1b-Indigo-Harmonic/" TargetMode="External"/><Relationship Id="rId1" Type="http://schemas.openxmlformats.org/officeDocument/2006/relationships/hyperlink" Target="https://in.tradingview.com/chart/INFY/mUfqwmgC-Infosys-Supply-Demand-Zone/" TargetMode="External"/><Relationship Id="rId212" Type="http://schemas.openxmlformats.org/officeDocument/2006/relationships/hyperlink" Target="https://in.tradingview.com/chart/RRKABEL/uBLZ3cHo-RRKABEL/" TargetMode="External"/><Relationship Id="rId233" Type="http://schemas.openxmlformats.org/officeDocument/2006/relationships/hyperlink" Target="https://in.tradingview.com/chart/TDPOWERSYS/mvJd621v-TDSPOWERSYSTEM/" TargetMode="External"/><Relationship Id="rId28" Type="http://schemas.openxmlformats.org/officeDocument/2006/relationships/hyperlink" Target="https://www.tradingview.com/chart/AUBANK/VjPDM9yR-AUBANK/" TargetMode="External"/><Relationship Id="rId49" Type="http://schemas.openxmlformats.org/officeDocument/2006/relationships/hyperlink" Target="https://in.tradingview.com/chart/BIOCON/O46YzSiM-BIOCON/" TargetMode="External"/><Relationship Id="rId114" Type="http://schemas.openxmlformats.org/officeDocument/2006/relationships/hyperlink" Target="https://in.tradingview.com/chart/ANURAS/VelYbjrY-ANURAS/" TargetMode="External"/><Relationship Id="rId60" Type="http://schemas.openxmlformats.org/officeDocument/2006/relationships/hyperlink" Target="https://social.stockedge.com/posts/9afe079a-4007-42ed-8fe6-29965fd81e5f" TargetMode="External"/><Relationship Id="rId81" Type="http://schemas.openxmlformats.org/officeDocument/2006/relationships/hyperlink" Target="https://in.tradingview.com/chart/GRANULES/TPCpD9rF-GRANUEL/" TargetMode="External"/><Relationship Id="rId135" Type="http://schemas.openxmlformats.org/officeDocument/2006/relationships/hyperlink" Target="https://in.tradingview.com/chart/IDEA/ZWoT8K82-IDEA/" TargetMode="External"/><Relationship Id="rId156" Type="http://schemas.openxmlformats.org/officeDocument/2006/relationships/hyperlink" Target="https://in.tradingview.com/chart/ABSLAMC/nOyi16es-ABSLAMC/" TargetMode="External"/><Relationship Id="rId177" Type="http://schemas.openxmlformats.org/officeDocument/2006/relationships/hyperlink" Target="https://in.tradingview.com/chart/SKYGOLD/rCBFzQGY-SKYGOLD/" TargetMode="External"/><Relationship Id="rId198" Type="http://schemas.openxmlformats.org/officeDocument/2006/relationships/hyperlink" Target="https://in.tradingview.com/chart/BAJAJ_AUTO/jI85bLlY-BAJAJAUTO/" TargetMode="External"/><Relationship Id="rId202" Type="http://schemas.openxmlformats.org/officeDocument/2006/relationships/hyperlink" Target="https://in.tradingview.com/chart/LTIM/VdFytts0-LTIMINDTREE/" TargetMode="External"/><Relationship Id="rId223" Type="http://schemas.openxmlformats.org/officeDocument/2006/relationships/hyperlink" Target="https://in.tradingview.com/chart/IRFC/EddVxgMt-IRFC/" TargetMode="External"/><Relationship Id="rId18" Type="http://schemas.openxmlformats.org/officeDocument/2006/relationships/hyperlink" Target="https://social.stockedge.com/posts/e8c641d1-b2db-4959-8152-6a60dec70716" TargetMode="External"/><Relationship Id="rId39" Type="http://schemas.openxmlformats.org/officeDocument/2006/relationships/hyperlink" Target="https://in.tradingview.com/chart/GVT&amp;D/g07NHrxj-GE-VERNOVA/" TargetMode="External"/><Relationship Id="rId50" Type="http://schemas.openxmlformats.org/officeDocument/2006/relationships/hyperlink" Target="https://social.stockedge.com/posts/a571dd30-b62e-4d39-ab9b-38b84ea1c416" TargetMode="External"/><Relationship Id="rId104" Type="http://schemas.openxmlformats.org/officeDocument/2006/relationships/hyperlink" Target="https://www.tradingview.com/chart/SBFC/VZYEG8Va-SBFC-FINANCE/" TargetMode="External"/><Relationship Id="rId125" Type="http://schemas.openxmlformats.org/officeDocument/2006/relationships/hyperlink" Target="https://in.tradingview.com/chart/NYKAA/gZAmRXsY-NYKAA/" TargetMode="External"/><Relationship Id="rId146" Type="http://schemas.openxmlformats.org/officeDocument/2006/relationships/hyperlink" Target="https://in.tradingview.com/chart/IDFCFIRSTB/E8jW1u8W-IDFCFIRSTBANK/" TargetMode="External"/><Relationship Id="rId167" Type="http://schemas.openxmlformats.org/officeDocument/2006/relationships/hyperlink" Target="https://in.tradingview.com/chart/BHARATFORG/wGFyfP5g-BHARATFORGE/" TargetMode="External"/><Relationship Id="rId188" Type="http://schemas.openxmlformats.org/officeDocument/2006/relationships/hyperlink" Target="https://in.tradingview.com/chart/PARADEEP/FFE0Hw46-PARADEEP-CMP-162-18-Nov-2025/" TargetMode="External"/><Relationship Id="rId71" Type="http://schemas.openxmlformats.org/officeDocument/2006/relationships/hyperlink" Target="https://in.tradingview.com/chart/LAURUSLABS/ImTbOa45-LAURASLAB/" TargetMode="External"/><Relationship Id="rId92" Type="http://schemas.openxmlformats.org/officeDocument/2006/relationships/hyperlink" Target="https://in.tradingview.com/chart/CAMS/8yOELM1p-CAMS/" TargetMode="External"/><Relationship Id="rId213" Type="http://schemas.openxmlformats.org/officeDocument/2006/relationships/hyperlink" Target="https://in.tradingview.com/chart/BLISSGVS/ApFzmzTG-BLISSGVS/" TargetMode="External"/><Relationship Id="rId234" Type="http://schemas.openxmlformats.org/officeDocument/2006/relationships/hyperlink" Target="https://in.tradingview.com/chart/EIMCOELECO/UFkyQNkZ-EIMCO/" TargetMode="External"/><Relationship Id="rId2" Type="http://schemas.openxmlformats.org/officeDocument/2006/relationships/hyperlink" Target="https://in.tradingview.com/chart/SRF/6G0FUp0D-SRF-Supply-Demand-Zone/" TargetMode="External"/><Relationship Id="rId29" Type="http://schemas.openxmlformats.org/officeDocument/2006/relationships/hyperlink" Target="https://www.tradingview.com/chart/TECHNOE/qPUHmFlD-Techno/" TargetMode="External"/><Relationship Id="rId40" Type="http://schemas.openxmlformats.org/officeDocument/2006/relationships/hyperlink" Target="https://social.stockedge.com/posts/28a84c3b-8c11-4593-a51f-c92e66c82bbb" TargetMode="External"/><Relationship Id="rId115" Type="http://schemas.openxmlformats.org/officeDocument/2006/relationships/hyperlink" Target="https://in.tradingview.com/chart/KIOCL/EOnhGWWK-KIOCL-Harmonic/" TargetMode="External"/><Relationship Id="rId136" Type="http://schemas.openxmlformats.org/officeDocument/2006/relationships/hyperlink" Target="https://in.tradingview.com/chart/RHIM/u7f9V6sk-RHIM/" TargetMode="External"/><Relationship Id="rId157" Type="http://schemas.openxmlformats.org/officeDocument/2006/relationships/hyperlink" Target="https://in.tradingview.com/chart/SEAMECLTD/Ce4BqrZL-SEAMECL/" TargetMode="External"/><Relationship Id="rId178" Type="http://schemas.openxmlformats.org/officeDocument/2006/relationships/hyperlink" Target="https://in.tradingview.com/chart/OIL/FaHh6nXv-OIL/" TargetMode="External"/><Relationship Id="rId61" Type="http://schemas.openxmlformats.org/officeDocument/2006/relationships/hyperlink" Target="https://social.stockedge.com/posts/6a8e9617-c83e-4c96-8aec-1bb84730718b" TargetMode="External"/><Relationship Id="rId82" Type="http://schemas.openxmlformats.org/officeDocument/2006/relationships/hyperlink" Target="https://in.tradingview.com/chart/KEC/FfdmYYfe-KEC/" TargetMode="External"/><Relationship Id="rId199" Type="http://schemas.openxmlformats.org/officeDocument/2006/relationships/hyperlink" Target="https://in.tradingview.com/chart/PHOENIXLTD/8vW0vvD4-PHOENIX/" TargetMode="External"/><Relationship Id="rId203" Type="http://schemas.openxmlformats.org/officeDocument/2006/relationships/hyperlink" Target="https://in.tradingview.com/chart/INDIGO/hU1f1RET-Indigo/" TargetMode="External"/><Relationship Id="rId19" Type="http://schemas.openxmlformats.org/officeDocument/2006/relationships/hyperlink" Target="https://www.tradingview.com/chart/KFINTECH/5rruA1hx-KFINTECH/" TargetMode="External"/><Relationship Id="rId224" Type="http://schemas.openxmlformats.org/officeDocument/2006/relationships/hyperlink" Target="https://in.tradingview.com/chart/RVNL/tHV9qobh-RVNL/" TargetMode="External"/><Relationship Id="rId30" Type="http://schemas.openxmlformats.org/officeDocument/2006/relationships/hyperlink" Target="https://www.tradingview.com/chart/PFC/TLNW3oU0-PFC/" TargetMode="External"/><Relationship Id="rId105" Type="http://schemas.openxmlformats.org/officeDocument/2006/relationships/hyperlink" Target="https://www.tradingview.com/chart/MRF/6eFNPVEz-MRF/" TargetMode="External"/><Relationship Id="rId126" Type="http://schemas.openxmlformats.org/officeDocument/2006/relationships/hyperlink" Target="https://in.tradingview.com/chart/ETERNAL/vr6fgfKn-ETERNAL/" TargetMode="External"/><Relationship Id="rId147" Type="http://schemas.openxmlformats.org/officeDocument/2006/relationships/hyperlink" Target="https://in.tradingview.com/chart/GRANULES/hIJ8V3Va-Granules/" TargetMode="External"/><Relationship Id="rId168" Type="http://schemas.openxmlformats.org/officeDocument/2006/relationships/hyperlink" Target="https://social.stockedge.com/posts/fb39e6b7-2830-4e2f-bb3f-e67cec622edd" TargetMode="External"/><Relationship Id="rId51" Type="http://schemas.openxmlformats.org/officeDocument/2006/relationships/hyperlink" Target="https://in.tradingview.com/chart/SHRIPISTON/FYWuYi67-SHRIPISTON/" TargetMode="External"/><Relationship Id="rId72" Type="http://schemas.openxmlformats.org/officeDocument/2006/relationships/hyperlink" Target="https://social.stockedge.com/posts/310134f9-b704-4200-8bbc-985cb98ec0ed" TargetMode="External"/><Relationship Id="rId93" Type="http://schemas.openxmlformats.org/officeDocument/2006/relationships/hyperlink" Target="https://in.tradingview.com/chart/ANANTRAJ/4NCujspf-ANANTRAJ/" TargetMode="External"/><Relationship Id="rId189" Type="http://schemas.openxmlformats.org/officeDocument/2006/relationships/hyperlink" Target="https://in.tradingview.com/chart/SEQUENT/dUqdxZAm-SEQUENT/" TargetMode="External"/><Relationship Id="rId3" Type="http://schemas.openxmlformats.org/officeDocument/2006/relationships/hyperlink" Target="https://in.tradingview.com/chart/CHOLAFIN/fjofxoIg-CHALAFIN-supply-and-demand-zone/" TargetMode="External"/><Relationship Id="rId214" Type="http://schemas.openxmlformats.org/officeDocument/2006/relationships/hyperlink" Target="https://in.tradingview.com/chart/WOCKPHARMA/gVgE1zZv-WORKHARD/" TargetMode="External"/><Relationship Id="rId235" Type="http://schemas.openxmlformats.org/officeDocument/2006/relationships/hyperlink" Target="https://in.tradingview.com/chart/MAZDOCK/hLReKtDm-MAZDOCK/" TargetMode="External"/><Relationship Id="rId116" Type="http://schemas.openxmlformats.org/officeDocument/2006/relationships/hyperlink" Target="https://in.tradingview.com/chart/KOTAKBANK/36fd26nj-KOTAKBANK/" TargetMode="External"/><Relationship Id="rId137" Type="http://schemas.openxmlformats.org/officeDocument/2006/relationships/hyperlink" Target="https://in.tradingview.com/chart/EIMCOELECO/9mHeRngE-EIMCO/" TargetMode="External"/><Relationship Id="rId158" Type="http://schemas.openxmlformats.org/officeDocument/2006/relationships/hyperlink" Target="https://in.tradingview.com/chart/CARBORUNIV/1EUy7sTM-Carborundum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ocial.stockedge.com/stock/cipla/5682" TargetMode="External"/><Relationship Id="rId117" Type="http://schemas.openxmlformats.org/officeDocument/2006/relationships/hyperlink" Target="https://social.stockedge.com/posts/9a807c16-9b91-4c21-92d1-1393d450ede2" TargetMode="External"/><Relationship Id="rId21" Type="http://schemas.openxmlformats.org/officeDocument/2006/relationships/hyperlink" Target="https://social.stockedge.com/posts/8bfbc92e-c5b6-48e2-9c7b-87be94b9f5f1" TargetMode="External"/><Relationship Id="rId42" Type="http://schemas.openxmlformats.org/officeDocument/2006/relationships/hyperlink" Target="https://social.stockedge.com/posts/2550c0de-eb19-4fd6-817c-966c73fcaa5b" TargetMode="External"/><Relationship Id="rId47" Type="http://schemas.openxmlformats.org/officeDocument/2006/relationships/hyperlink" Target="https://social.stockedge.com/posts/0662ab58-b4bc-4bce-a8f1-4e6b612825ad" TargetMode="External"/><Relationship Id="rId63" Type="http://schemas.openxmlformats.org/officeDocument/2006/relationships/hyperlink" Target="https://social.stockedge.com/posts/053ef265-936d-474e-b3bf-37c409c22f80" TargetMode="External"/><Relationship Id="rId68" Type="http://schemas.openxmlformats.org/officeDocument/2006/relationships/hyperlink" Target="https://social.stockedge.com/posts/0807cfbd-6bcb-466c-a266-f7c7452cf75c" TargetMode="External"/><Relationship Id="rId84" Type="http://schemas.openxmlformats.org/officeDocument/2006/relationships/hyperlink" Target="https://social.stockedge.com/posts/04938861-ec7e-448d-867d-236e263755d9" TargetMode="External"/><Relationship Id="rId89" Type="http://schemas.openxmlformats.org/officeDocument/2006/relationships/hyperlink" Target="https://social.stockedge.com/posts/fb1fd4cf-9614-4504-bfa2-f65d66d1f3af" TargetMode="External"/><Relationship Id="rId112" Type="http://schemas.openxmlformats.org/officeDocument/2006/relationships/hyperlink" Target="https://social.stockedge.com/posts/beac0e47-d580-4894-871b-48a7d687ed61" TargetMode="External"/><Relationship Id="rId16" Type="http://schemas.openxmlformats.org/officeDocument/2006/relationships/hyperlink" Target="https://social.stockedge.com/posts/96748dbf-3042-412a-8294-e65f439f1240" TargetMode="External"/><Relationship Id="rId107" Type="http://schemas.openxmlformats.org/officeDocument/2006/relationships/hyperlink" Target="https://social.stockedge.com/posts/412e217b-54ad-48bd-bfe5-725b4219f34b" TargetMode="External"/><Relationship Id="rId11" Type="http://schemas.openxmlformats.org/officeDocument/2006/relationships/hyperlink" Target="https://social.stockedge.com/posts/7d2394cf-e482-45e1-b648-99c09b885dc7" TargetMode="External"/><Relationship Id="rId32" Type="http://schemas.openxmlformats.org/officeDocument/2006/relationships/hyperlink" Target="https://social.stockedge.com/posts/093b0fa6-15b2-499f-9b23-602eca2b4371" TargetMode="External"/><Relationship Id="rId37" Type="http://schemas.openxmlformats.org/officeDocument/2006/relationships/hyperlink" Target="https://social.stockedge.com/posts/18bc4207-70b7-475d-bb85-4b6356930b1a" TargetMode="External"/><Relationship Id="rId53" Type="http://schemas.openxmlformats.org/officeDocument/2006/relationships/hyperlink" Target="https://social.stockedge.com/posts/9f7599b0-36b9-428d-b856-7d269ead2c4a" TargetMode="External"/><Relationship Id="rId58" Type="http://schemas.openxmlformats.org/officeDocument/2006/relationships/hyperlink" Target="https://social.stockedge.com/posts/30c6a19d-d24f-4eea-9618-0fbb0dfb90a1" TargetMode="External"/><Relationship Id="rId74" Type="http://schemas.openxmlformats.org/officeDocument/2006/relationships/hyperlink" Target="https://social.stockedge.com/posts/736cd869-c2bb-4384-941e-78f86a107fb2" TargetMode="External"/><Relationship Id="rId79" Type="http://schemas.openxmlformats.org/officeDocument/2006/relationships/hyperlink" Target="https://www.tradingview.com/symbols/NSE-EIHOTEL/" TargetMode="External"/><Relationship Id="rId102" Type="http://schemas.openxmlformats.org/officeDocument/2006/relationships/hyperlink" Target="https://social.stockedge.com/posts/e73c7907-7f6c-4294-bebd-a3c2d35db294" TargetMode="External"/><Relationship Id="rId123" Type="http://schemas.openxmlformats.org/officeDocument/2006/relationships/hyperlink" Target="https://social.stockedge.com/stock/kabra-extrusiontechnik/332" TargetMode="External"/><Relationship Id="rId5" Type="http://schemas.openxmlformats.org/officeDocument/2006/relationships/hyperlink" Target="https://social.stockedge.com/posts/ed8155cf-dfb3-4eef-b131-0b3bd8fd84dc" TargetMode="External"/><Relationship Id="rId90" Type="http://schemas.openxmlformats.org/officeDocument/2006/relationships/hyperlink" Target="https://social.stockedge.com/posts/284c342f-b9b4-4d9d-a4a2-1d72b1bc1cc2" TargetMode="External"/><Relationship Id="rId95" Type="http://schemas.openxmlformats.org/officeDocument/2006/relationships/hyperlink" Target="https://social.stockedge.com/posts/41c3e9d6-2b26-49b2-8622-86cf78dd48e3" TargetMode="External"/><Relationship Id="rId22" Type="http://schemas.openxmlformats.org/officeDocument/2006/relationships/hyperlink" Target="https://social.stockedge.com/posts/784a6c9d-e1e4-4760-bbb1-2469827ef880" TargetMode="External"/><Relationship Id="rId27" Type="http://schemas.openxmlformats.org/officeDocument/2006/relationships/hyperlink" Target="https://social.stockedge.com/posts/d5edec12-d1e6-4c5c-b5cd-ffb477bcb91a" TargetMode="External"/><Relationship Id="rId43" Type="http://schemas.openxmlformats.org/officeDocument/2006/relationships/hyperlink" Target="https://social.stockedge.com/stock/container-corporation-of-india/791" TargetMode="External"/><Relationship Id="rId48" Type="http://schemas.openxmlformats.org/officeDocument/2006/relationships/hyperlink" Target="https://social.stockedge.com/stock/uti-asset-management-company/6560" TargetMode="External"/><Relationship Id="rId64" Type="http://schemas.openxmlformats.org/officeDocument/2006/relationships/hyperlink" Target="https://social.stockedge.com/posts/628a7b46-dadf-46d7-95e5-58a658a8551d" TargetMode="External"/><Relationship Id="rId69" Type="http://schemas.openxmlformats.org/officeDocument/2006/relationships/hyperlink" Target="https://social.stockedge.com/stock/tata-motors/8878" TargetMode="External"/><Relationship Id="rId113" Type="http://schemas.openxmlformats.org/officeDocument/2006/relationships/hyperlink" Target="https://social.stockedge.com/posts/38ea7c21-c31f-434e-bec7-877fe14400e3" TargetMode="External"/><Relationship Id="rId118" Type="http://schemas.openxmlformats.org/officeDocument/2006/relationships/hyperlink" Target="https://social.stockedge.com/posts/aa643590-ed13-4a8a-b72f-46edff33fb49" TargetMode="External"/><Relationship Id="rId80" Type="http://schemas.openxmlformats.org/officeDocument/2006/relationships/hyperlink" Target="https://social.stockedge.com/posts/5757ce81-947e-43c3-b541-e5c8a273dd51" TargetMode="External"/><Relationship Id="rId85" Type="http://schemas.openxmlformats.org/officeDocument/2006/relationships/hyperlink" Target="https://social.stockedge.com/posts/ae1014f3-e3cc-4f70-a64d-3b108d90558a" TargetMode="External"/><Relationship Id="rId12" Type="http://schemas.openxmlformats.org/officeDocument/2006/relationships/hyperlink" Target="https://social.stockedge.com/stock/state-bank-of-india/8887" TargetMode="External"/><Relationship Id="rId17" Type="http://schemas.openxmlformats.org/officeDocument/2006/relationships/hyperlink" Target="https://social.stockedge.com/posts/147b1663-d822-4f38-a48c-3c7c941a2870" TargetMode="External"/><Relationship Id="rId33" Type="http://schemas.openxmlformats.org/officeDocument/2006/relationships/hyperlink" Target="https://social.stockedge.com/stock/thermax/6048" TargetMode="External"/><Relationship Id="rId38" Type="http://schemas.openxmlformats.org/officeDocument/2006/relationships/hyperlink" Target="https://social.stockedge.com/stock/grasim-industries/442" TargetMode="External"/><Relationship Id="rId59" Type="http://schemas.openxmlformats.org/officeDocument/2006/relationships/hyperlink" Target="https://social.stockedge.com/stock/lic-housing-finance/8864" TargetMode="External"/><Relationship Id="rId103" Type="http://schemas.openxmlformats.org/officeDocument/2006/relationships/hyperlink" Target="https://social.stockedge.com/stock/west-coast-paper-mills/1848" TargetMode="External"/><Relationship Id="rId108" Type="http://schemas.openxmlformats.org/officeDocument/2006/relationships/hyperlink" Target="https://social.stockedge.com/posts/ade5ecb7-5fb4-4ebf-bca8-0e29d3fdaaae" TargetMode="External"/><Relationship Id="rId124" Type="http://schemas.openxmlformats.org/officeDocument/2006/relationships/hyperlink" Target="https://social.stockedge.com/posts/5b03fdac-284b-497e-8d0f-81a5865239fc" TargetMode="External"/><Relationship Id="rId54" Type="http://schemas.openxmlformats.org/officeDocument/2006/relationships/hyperlink" Target="https://social.stockedge.com/stock/angel-one/1774" TargetMode="External"/><Relationship Id="rId70" Type="http://schemas.openxmlformats.org/officeDocument/2006/relationships/hyperlink" Target="https://social.stockedge.com/posts/5b04e7ff-b699-4190-bed5-9579188bae08" TargetMode="External"/><Relationship Id="rId75" Type="http://schemas.openxmlformats.org/officeDocument/2006/relationships/hyperlink" Target="https://social.stockedge.com/stock/godrej-properties/9131" TargetMode="External"/><Relationship Id="rId91" Type="http://schemas.openxmlformats.org/officeDocument/2006/relationships/hyperlink" Target="https://social.stockedge.com/posts/bffa93c4-6454-4bf5-a019-7d22de717292" TargetMode="External"/><Relationship Id="rId96" Type="http://schemas.openxmlformats.org/officeDocument/2006/relationships/hyperlink" Target="https://social.stockedge.com/posts/14ae72ee-4685-477f-bb61-e49674deda90" TargetMode="External"/><Relationship Id="rId1" Type="http://schemas.openxmlformats.org/officeDocument/2006/relationships/hyperlink" Target="https://social.stockedge.com/posts/a5bfd9d2-567d-40f4-ac57-b3bb9c679f7e" TargetMode="External"/><Relationship Id="rId6" Type="http://schemas.openxmlformats.org/officeDocument/2006/relationships/hyperlink" Target="https://social.stockedge.com/stock/triveni-engineering-industries/1031" TargetMode="External"/><Relationship Id="rId23" Type="http://schemas.openxmlformats.org/officeDocument/2006/relationships/hyperlink" Target="https://social.stockedge.com/stock/hikal/1737" TargetMode="External"/><Relationship Id="rId28" Type="http://schemas.openxmlformats.org/officeDocument/2006/relationships/hyperlink" Target="https://social.stockedge.com/stock/tata-investment-corporation/1006" TargetMode="External"/><Relationship Id="rId49" Type="http://schemas.openxmlformats.org/officeDocument/2006/relationships/hyperlink" Target="https://social.stockedge.com/posts/9c75766e-a3f9-45b4-8928-f7431af17935" TargetMode="External"/><Relationship Id="rId114" Type="http://schemas.openxmlformats.org/officeDocument/2006/relationships/hyperlink" Target="https://social.stockedge.com/posts/e1f69d2f-f29d-4b87-8102-cbf129576717" TargetMode="External"/><Relationship Id="rId119" Type="http://schemas.openxmlformats.org/officeDocument/2006/relationships/hyperlink" Target="https://social.stockedge.com/posts/6743f9c1-df53-4114-b7d3-7999642d1027" TargetMode="External"/><Relationship Id="rId44" Type="http://schemas.openxmlformats.org/officeDocument/2006/relationships/hyperlink" Target="https://social.stockedge.com/posts/f06cd943-0112-4f06-b895-99808d109b54" TargetMode="External"/><Relationship Id="rId60" Type="http://schemas.openxmlformats.org/officeDocument/2006/relationships/hyperlink" Target="https://social.stockedge.com/posts/c026310a-d328-48fe-b1c0-58b513687adf" TargetMode="External"/><Relationship Id="rId65" Type="http://schemas.openxmlformats.org/officeDocument/2006/relationships/hyperlink" Target="https://social.stockedge.com/posts/13330304-1c1a-472a-b3d7-77f4ea031e15" TargetMode="External"/><Relationship Id="rId81" Type="http://schemas.openxmlformats.org/officeDocument/2006/relationships/hyperlink" Target="https://social.stockedge.com/stock/kpr-mill/1461" TargetMode="External"/><Relationship Id="rId86" Type="http://schemas.openxmlformats.org/officeDocument/2006/relationships/hyperlink" Target="https://social.stockedge.com/posts/82784c44-44d5-49c9-b3f7-60161725704b" TargetMode="External"/><Relationship Id="rId13" Type="http://schemas.openxmlformats.org/officeDocument/2006/relationships/hyperlink" Target="https://social.stockedge.com/posts/286e6c6b-bee6-4e9d-b068-2e5d7fbf318b" TargetMode="External"/><Relationship Id="rId18" Type="http://schemas.openxmlformats.org/officeDocument/2006/relationships/hyperlink" Target="https://social.stockedge.com/posts/8eec99c2-ed86-4d8c-961c-04c5502f57a4" TargetMode="External"/><Relationship Id="rId39" Type="http://schemas.openxmlformats.org/officeDocument/2006/relationships/hyperlink" Target="https://social.stockedge.com/posts/4e8fecea-083c-4c86-b151-14ea799d75b9" TargetMode="External"/><Relationship Id="rId109" Type="http://schemas.openxmlformats.org/officeDocument/2006/relationships/hyperlink" Target="https://social.stockedge.com/posts/041a0e47-aaed-4d8f-ae39-b4287f209a93" TargetMode="External"/><Relationship Id="rId34" Type="http://schemas.openxmlformats.org/officeDocument/2006/relationships/hyperlink" Target="https://social.stockedge.com/posts/aa62ab7a-29bd-45e0-a98c-1648a7d5bb37" TargetMode="External"/><Relationship Id="rId50" Type="http://schemas.openxmlformats.org/officeDocument/2006/relationships/hyperlink" Target="https://social.stockedge.com/stock/godrej-consumer-products/8977" TargetMode="External"/><Relationship Id="rId55" Type="http://schemas.openxmlformats.org/officeDocument/2006/relationships/hyperlink" Target="https://social.stockedge.com/posts/620249b1-f855-4d1c-b37e-8a0d318575a3" TargetMode="External"/><Relationship Id="rId76" Type="http://schemas.openxmlformats.org/officeDocument/2006/relationships/hyperlink" Target="https://social.stockedge.com/posts/86981ed5-d263-407a-a7ee-e52fd8eb0ba3" TargetMode="External"/><Relationship Id="rId97" Type="http://schemas.openxmlformats.org/officeDocument/2006/relationships/hyperlink" Target="https://social.stockedge.com/posts/cf891d17-4851-4873-a3d2-1d43b88b502d" TargetMode="External"/><Relationship Id="rId104" Type="http://schemas.openxmlformats.org/officeDocument/2006/relationships/hyperlink" Target="https://social.stockedge.com/posts/d2525b78-ca4d-4c92-bd17-fc999506dfb9" TargetMode="External"/><Relationship Id="rId120" Type="http://schemas.openxmlformats.org/officeDocument/2006/relationships/hyperlink" Target="https://social.stockedge.com/posts/a2fec491-b4f6-4ef6-9bdf-45cd74acb85a" TargetMode="External"/><Relationship Id="rId125" Type="http://schemas.openxmlformats.org/officeDocument/2006/relationships/hyperlink" Target="https://social.stockedge.com/posts/e75f895d-7367-4e37-99e7-4d8619f75d77" TargetMode="External"/><Relationship Id="rId7" Type="http://schemas.openxmlformats.org/officeDocument/2006/relationships/hyperlink" Target="https://social.stockedge.com/posts/85b1c71c-14db-483c-9561-f04f434881fa" TargetMode="External"/><Relationship Id="rId71" Type="http://schemas.openxmlformats.org/officeDocument/2006/relationships/hyperlink" Target="https://social.stockedge.com/stock/dlf/9090" TargetMode="External"/><Relationship Id="rId92" Type="http://schemas.openxmlformats.org/officeDocument/2006/relationships/hyperlink" Target="https://social.stockedge.com/posts/3bb30045-9a87-4d1c-b244-f35baf531d2f" TargetMode="External"/><Relationship Id="rId2" Type="http://schemas.openxmlformats.org/officeDocument/2006/relationships/hyperlink" Target="https://social.stockedge.com/posts/b24b6db6-ec5c-459a-a882-dff1a3149da0" TargetMode="External"/><Relationship Id="rId29" Type="http://schemas.openxmlformats.org/officeDocument/2006/relationships/hyperlink" Target="https://social.stockedge.com/posts/f93a0f06-7555-45dc-8e24-1e85029b02dc" TargetMode="External"/><Relationship Id="rId24" Type="http://schemas.openxmlformats.org/officeDocument/2006/relationships/hyperlink" Target="https://social.stockedge.com/posts/67110829-6de4-4480-8c28-a0fa12a986e2" TargetMode="External"/><Relationship Id="rId40" Type="http://schemas.openxmlformats.org/officeDocument/2006/relationships/hyperlink" Target="https://social.stockedge.com/posts/571a24b5-2cd8-4808-a130-b4e2bb3d58bf" TargetMode="External"/><Relationship Id="rId45" Type="http://schemas.openxmlformats.org/officeDocument/2006/relationships/hyperlink" Target="https://social.stockedge.com/posts/887ab412-9961-4f18-a032-67393fea9b49" TargetMode="External"/><Relationship Id="rId66" Type="http://schemas.openxmlformats.org/officeDocument/2006/relationships/hyperlink" Target="https://social.stockedge.com/posts/89b31a39-bf39-4663-89f9-127e4c0a86a1" TargetMode="External"/><Relationship Id="rId87" Type="http://schemas.openxmlformats.org/officeDocument/2006/relationships/hyperlink" Target="https://social.stockedge.com/posts/9c830eea-9600-4eac-92a1-7f5f11995aa1" TargetMode="External"/><Relationship Id="rId110" Type="http://schemas.openxmlformats.org/officeDocument/2006/relationships/hyperlink" Target="https://social.stockedge.com/posts/1b0c9661-761a-4fb2-8f97-7c54d40a47c2" TargetMode="External"/><Relationship Id="rId115" Type="http://schemas.openxmlformats.org/officeDocument/2006/relationships/hyperlink" Target="https://social.stockedge.com/posts/29d921eb-3f04-43b3-b34a-3452f4bdba10" TargetMode="External"/><Relationship Id="rId61" Type="http://schemas.openxmlformats.org/officeDocument/2006/relationships/hyperlink" Target="https://social.stockedge.com/stock/vijaya-diagnostic-pvt-amalgamated/3919" TargetMode="External"/><Relationship Id="rId82" Type="http://schemas.openxmlformats.org/officeDocument/2006/relationships/hyperlink" Target="https://social.stockedge.com/posts/60a43915-ba4d-4f97-8b23-9ba547e6dcc7" TargetMode="External"/><Relationship Id="rId19" Type="http://schemas.openxmlformats.org/officeDocument/2006/relationships/hyperlink" Target="https://social.stockedge.com/posts/7867a65e-ddbc-4607-904d-e1bad3b0e34f" TargetMode="External"/><Relationship Id="rId14" Type="http://schemas.openxmlformats.org/officeDocument/2006/relationships/hyperlink" Target="https://social.stockedge.com/posts/21298fa5-dfab-4a26-bbf4-0f8d2e17a252" TargetMode="External"/><Relationship Id="rId30" Type="http://schemas.openxmlformats.org/officeDocument/2006/relationships/hyperlink" Target="https://social.stockedge.com/posts/bfb86bbd-d77a-4852-b157-323db0b43d2f" TargetMode="External"/><Relationship Id="rId35" Type="http://schemas.openxmlformats.org/officeDocument/2006/relationships/hyperlink" Target="https://social.stockedge.com/posts/37643584-8084-4052-95fd-c300942d3bc0" TargetMode="External"/><Relationship Id="rId56" Type="http://schemas.openxmlformats.org/officeDocument/2006/relationships/hyperlink" Target="https://social.stockedge.com/posts/5e32224e-aeff-47fd-b740-bddce32c2689" TargetMode="External"/><Relationship Id="rId77" Type="http://schemas.openxmlformats.org/officeDocument/2006/relationships/hyperlink" Target="https://social.stockedge.com/stock/oberoi-realty/498" TargetMode="External"/><Relationship Id="rId100" Type="http://schemas.openxmlformats.org/officeDocument/2006/relationships/hyperlink" Target="https://social.stockedge.com/posts/6772c4b1-f8b4-4423-b667-717e9b656dec" TargetMode="External"/><Relationship Id="rId105" Type="http://schemas.openxmlformats.org/officeDocument/2006/relationships/hyperlink" Target="https://social.stockedge.com/posts/5be96be9-2850-4951-80be-dc6f756119f7" TargetMode="External"/><Relationship Id="rId126" Type="http://schemas.openxmlformats.org/officeDocument/2006/relationships/hyperlink" Target="https://social.stockedge.com/posts/9e7325b1-a9c5-4942-a3c9-833845bb2f48" TargetMode="External"/><Relationship Id="rId8" Type="http://schemas.openxmlformats.org/officeDocument/2006/relationships/hyperlink" Target="https://social.stockedge.com/posts/314e5524-20f8-4a1f-be09-21e252a29135" TargetMode="External"/><Relationship Id="rId51" Type="http://schemas.openxmlformats.org/officeDocument/2006/relationships/hyperlink" Target="https://social.stockedge.com/posts/19d7b83a-2c71-44cf-b6d2-4ac4f6f6e149" TargetMode="External"/><Relationship Id="rId72" Type="http://schemas.openxmlformats.org/officeDocument/2006/relationships/hyperlink" Target="https://social.stockedge.com/posts/5e0d9692-4e28-45e9-aec8-4219022da1af" TargetMode="External"/><Relationship Id="rId93" Type="http://schemas.openxmlformats.org/officeDocument/2006/relationships/hyperlink" Target="https://social.stockedge.com/posts/8c8cbb97-b54b-4593-98d8-928c81e59594" TargetMode="External"/><Relationship Id="rId98" Type="http://schemas.openxmlformats.org/officeDocument/2006/relationships/hyperlink" Target="https://www.tradingview.com/chart/NRBBEARING/idVfzNdu-NRBBEARINGS/" TargetMode="External"/><Relationship Id="rId121" Type="http://schemas.openxmlformats.org/officeDocument/2006/relationships/hyperlink" Target="https://social.stockedge.com/posts/8a83b7a6-7a7e-45d4-8891-f4e172c39746" TargetMode="External"/><Relationship Id="rId3" Type="http://schemas.openxmlformats.org/officeDocument/2006/relationships/hyperlink" Target="https://social.stockedge.com/stock/colgate-palmolive-india/9108" TargetMode="External"/><Relationship Id="rId25" Type="http://schemas.openxmlformats.org/officeDocument/2006/relationships/hyperlink" Target="https://social.stockedge.com/posts/366302a8-5f4b-421e-bfb7-d8b9dc02dfc8" TargetMode="External"/><Relationship Id="rId46" Type="http://schemas.openxmlformats.org/officeDocument/2006/relationships/hyperlink" Target="https://social.stockedge.com/stock/anupam-rasayan-india/581" TargetMode="External"/><Relationship Id="rId67" Type="http://schemas.openxmlformats.org/officeDocument/2006/relationships/hyperlink" Target="https://social.stockedge.com/stock/cochin-shipyard/9810" TargetMode="External"/><Relationship Id="rId116" Type="http://schemas.openxmlformats.org/officeDocument/2006/relationships/hyperlink" Target="https://social.stockedge.com/posts/56e3a7f9-cfff-4a0e-8fc6-7a249fdac37a" TargetMode="External"/><Relationship Id="rId20" Type="http://schemas.openxmlformats.org/officeDocument/2006/relationships/hyperlink" Target="https://social.stockedge.com/posts/adb5e781-ba11-4b1a-bc8c-48822dd2fdf1" TargetMode="External"/><Relationship Id="rId41" Type="http://schemas.openxmlformats.org/officeDocument/2006/relationships/hyperlink" Target="https://social.stockedge.com/stock/beml/5736" TargetMode="External"/><Relationship Id="rId62" Type="http://schemas.openxmlformats.org/officeDocument/2006/relationships/hyperlink" Target="https://social.stockedge.com/posts/109450c3-83b1-4dd7-9add-6b03824c6ed6" TargetMode="External"/><Relationship Id="rId83" Type="http://schemas.openxmlformats.org/officeDocument/2006/relationships/hyperlink" Target="https://social.stockedge.com/stock/alkyl-amines-chemicals/752" TargetMode="External"/><Relationship Id="rId88" Type="http://schemas.openxmlformats.org/officeDocument/2006/relationships/hyperlink" Target="https://social.stockedge.com/posts/48588c85-b284-48e2-ae69-d0357ba60ad3" TargetMode="External"/><Relationship Id="rId111" Type="http://schemas.openxmlformats.org/officeDocument/2006/relationships/hyperlink" Target="https://social.stockedge.com/posts/7a4132bd-070d-4665-880f-94743e09b7f9" TargetMode="External"/><Relationship Id="rId15" Type="http://schemas.openxmlformats.org/officeDocument/2006/relationships/hyperlink" Target="https://social.stockedge.com/posts/6a4e3404-7c2e-4457-a78d-1bf1fdbeecbe" TargetMode="External"/><Relationship Id="rId36" Type="http://schemas.openxmlformats.org/officeDocument/2006/relationships/hyperlink" Target="https://social.stockedge.com/stock/bajaj-finance/5756" TargetMode="External"/><Relationship Id="rId57" Type="http://schemas.openxmlformats.org/officeDocument/2006/relationships/hyperlink" Target="https://social.stockedge.com/stock/aegis-logistics/8791" TargetMode="External"/><Relationship Id="rId106" Type="http://schemas.openxmlformats.org/officeDocument/2006/relationships/hyperlink" Target="https://social.stockedge.com/posts/dda9c77c-bcb6-4172-bac0-e0535fac8a6b" TargetMode="External"/><Relationship Id="rId127" Type="http://schemas.openxmlformats.org/officeDocument/2006/relationships/hyperlink" Target="https://social.stockedge.com/posts/01bc9b01-916a-477b-a565-efc66087f2d5" TargetMode="External"/><Relationship Id="rId10" Type="http://schemas.openxmlformats.org/officeDocument/2006/relationships/hyperlink" Target="https://social.stockedge.com/stock/finolex-cables/8837" TargetMode="External"/><Relationship Id="rId31" Type="http://schemas.openxmlformats.org/officeDocument/2006/relationships/hyperlink" Target="https://social.stockedge.com/stock/kpit-technologies/10282" TargetMode="External"/><Relationship Id="rId52" Type="http://schemas.openxmlformats.org/officeDocument/2006/relationships/hyperlink" Target="https://social.stockedge.com/posts/79ed4ca8-29aa-45ef-8087-aaa9d59aa383" TargetMode="External"/><Relationship Id="rId73" Type="http://schemas.openxmlformats.org/officeDocument/2006/relationships/hyperlink" Target="https://social.stockedge.com/stock/prestige-estates-projects/679" TargetMode="External"/><Relationship Id="rId78" Type="http://schemas.openxmlformats.org/officeDocument/2006/relationships/hyperlink" Target="https://social.stockedge.com/posts/048fc506-9224-4990-a66e-725530441b4a" TargetMode="External"/><Relationship Id="rId94" Type="http://schemas.openxmlformats.org/officeDocument/2006/relationships/hyperlink" Target="https://social.stockedge.com/stock/eclerx-services/1350" TargetMode="External"/><Relationship Id="rId99" Type="http://schemas.openxmlformats.org/officeDocument/2006/relationships/hyperlink" Target="https://social.stockedge.com/posts/6448549c-3a01-4ac9-9459-055e5f7d7840" TargetMode="External"/><Relationship Id="rId101" Type="http://schemas.openxmlformats.org/officeDocument/2006/relationships/hyperlink" Target="https://social.stockedge.com/posts/43e62ce1-48e8-41bc-9f25-3dce5cad3ebc" TargetMode="External"/><Relationship Id="rId122" Type="http://schemas.openxmlformats.org/officeDocument/2006/relationships/hyperlink" Target="https://social.stockedge.com/posts/ad5e1fa0-a577-402c-b544-37cf4168757f" TargetMode="External"/><Relationship Id="rId4" Type="http://schemas.openxmlformats.org/officeDocument/2006/relationships/hyperlink" Target="https://social.stockedge.com/posts/27683db2-343a-4ba1-94cc-b3f9ce114c80" TargetMode="External"/><Relationship Id="rId9" Type="http://schemas.openxmlformats.org/officeDocument/2006/relationships/hyperlink" Target="https://social.stockedge.com/posts/99e4d376-f93f-471e-87be-7794f1407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34"/>
  <sheetViews>
    <sheetView tabSelected="1" workbookViewId="0">
      <selection activeCell="H7" sqref="A1:XFD1048576"/>
    </sheetView>
  </sheetViews>
  <sheetFormatPr defaultColWidth="12.5703125" defaultRowHeight="15" customHeight="1"/>
  <cols>
    <col min="1" max="1" width="14.140625" style="140" customWidth="1"/>
    <col min="2" max="2" width="24.140625" style="140" customWidth="1"/>
    <col min="3" max="3" width="88.5703125" style="140" bestFit="1" customWidth="1"/>
    <col min="4" max="4" width="13.7109375" style="140" bestFit="1" customWidth="1"/>
    <col min="5" max="5" width="15.7109375" style="140" customWidth="1"/>
    <col min="6" max="6" width="12.5703125" style="140"/>
    <col min="7" max="7" width="15" style="140" customWidth="1"/>
    <col min="8" max="16384" width="12.5703125" style="140"/>
  </cols>
  <sheetData>
    <row r="1" spans="1:7" s="140" customFormat="1" ht="15.75" customHeight="1">
      <c r="A1" s="19" t="s">
        <v>0</v>
      </c>
      <c r="B1" s="3" t="s">
        <v>1</v>
      </c>
      <c r="C1" s="3" t="s">
        <v>2</v>
      </c>
      <c r="D1" s="3" t="s">
        <v>710</v>
      </c>
      <c r="E1" s="3" t="s">
        <v>711</v>
      </c>
      <c r="F1" s="3" t="s">
        <v>3</v>
      </c>
      <c r="G1" s="19"/>
    </row>
    <row r="2" spans="1:7" s="140" customFormat="1" ht="15.75" customHeight="1">
      <c r="A2" s="15">
        <v>44999</v>
      </c>
      <c r="B2" s="16" t="s">
        <v>21</v>
      </c>
      <c r="C2" s="41" t="s">
        <v>4</v>
      </c>
      <c r="D2" s="4">
        <v>1420</v>
      </c>
      <c r="E2" s="141">
        <f ca="1">IFERROR(__xludf.DUMMYFUNCTION("GOOGLEFINANCE(""NSE:INFY"",""price"")"),1176)</f>
        <v>1176</v>
      </c>
      <c r="F2" s="142">
        <f t="shared" ref="F2:F25" ca="1" si="0">E2/D2-1</f>
        <v>-0.17183098591549295</v>
      </c>
      <c r="G2" s="19"/>
    </row>
    <row r="3" spans="1:7" s="140" customFormat="1" ht="15.75" customHeight="1">
      <c r="A3" s="15">
        <v>45486</v>
      </c>
      <c r="B3" s="16" t="s">
        <v>40</v>
      </c>
      <c r="C3" s="41" t="s">
        <v>41</v>
      </c>
      <c r="D3" s="4">
        <v>2173</v>
      </c>
      <c r="E3" s="5">
        <v>3098</v>
      </c>
      <c r="F3" s="142">
        <f t="shared" si="0"/>
        <v>0.42567878508973767</v>
      </c>
      <c r="G3" s="19"/>
    </row>
    <row r="4" spans="1:7" s="140" customFormat="1" ht="15.75" customHeight="1">
      <c r="A4" s="15">
        <v>45284</v>
      </c>
      <c r="B4" s="16" t="s">
        <v>42</v>
      </c>
      <c r="C4" s="41" t="s">
        <v>43</v>
      </c>
      <c r="D4" s="4">
        <v>1171</v>
      </c>
      <c r="E4" s="5">
        <v>1651</v>
      </c>
      <c r="F4" s="142">
        <f t="shared" si="0"/>
        <v>0.40990606319385137</v>
      </c>
      <c r="G4" s="19"/>
    </row>
    <row r="5" spans="1:7" s="140" customFormat="1" ht="15.75" customHeight="1">
      <c r="A5" s="15">
        <v>45658</v>
      </c>
      <c r="B5" s="16" t="s">
        <v>44</v>
      </c>
      <c r="C5" s="41" t="s">
        <v>45</v>
      </c>
      <c r="D5" s="4">
        <v>203</v>
      </c>
      <c r="E5" s="5">
        <v>255</v>
      </c>
      <c r="F5" s="142">
        <f t="shared" si="0"/>
        <v>0.2561576354679802</v>
      </c>
      <c r="G5" s="19"/>
    </row>
    <row r="6" spans="1:7" s="140" customFormat="1" ht="15.75" customHeight="1">
      <c r="A6" s="15">
        <v>45658</v>
      </c>
      <c r="B6" s="16" t="s">
        <v>46</v>
      </c>
      <c r="C6" s="42" t="s">
        <v>47</v>
      </c>
      <c r="D6" s="4">
        <v>111</v>
      </c>
      <c r="E6" s="5">
        <v>291</v>
      </c>
      <c r="F6" s="142">
        <f t="shared" si="0"/>
        <v>1.6216216216216215</v>
      </c>
      <c r="G6" s="19"/>
    </row>
    <row r="7" spans="1:7" s="140" customFormat="1" ht="15.75" customHeight="1">
      <c r="A7" s="15">
        <v>45658</v>
      </c>
      <c r="B7" s="16" t="s">
        <v>48</v>
      </c>
      <c r="C7" s="42" t="s">
        <v>49</v>
      </c>
      <c r="D7" s="4">
        <v>1452</v>
      </c>
      <c r="E7" s="5">
        <v>1557</v>
      </c>
      <c r="F7" s="143">
        <f t="shared" si="0"/>
        <v>7.2314049586776896E-2</v>
      </c>
      <c r="G7" s="19"/>
    </row>
    <row r="8" spans="1:7" s="140" customFormat="1" ht="15.75" customHeight="1">
      <c r="A8" s="15">
        <v>45658</v>
      </c>
      <c r="B8" s="16" t="s">
        <v>50</v>
      </c>
      <c r="C8" s="43" t="s">
        <v>51</v>
      </c>
      <c r="D8" s="4">
        <v>707</v>
      </c>
      <c r="E8" s="5">
        <v>750</v>
      </c>
      <c r="F8" s="143">
        <f t="shared" si="0"/>
        <v>6.0820367751060811E-2</v>
      </c>
      <c r="G8" s="19"/>
    </row>
    <row r="9" spans="1:7" s="140" customFormat="1" ht="15.75" customHeight="1">
      <c r="A9" s="15">
        <v>45658</v>
      </c>
      <c r="B9" s="16" t="s">
        <v>52</v>
      </c>
      <c r="C9" s="43" t="s">
        <v>53</v>
      </c>
      <c r="D9" s="4">
        <v>14591</v>
      </c>
      <c r="E9" s="5">
        <v>18092</v>
      </c>
      <c r="F9" s="143">
        <f t="shared" si="0"/>
        <v>0.23994243026523199</v>
      </c>
      <c r="G9" s="19"/>
    </row>
    <row r="10" spans="1:7" s="140" customFormat="1" ht="15.75" customHeight="1">
      <c r="A10" s="15">
        <v>45658</v>
      </c>
      <c r="B10" s="16" t="s">
        <v>54</v>
      </c>
      <c r="C10" s="43" t="s">
        <v>55</v>
      </c>
      <c r="D10" s="4">
        <v>775</v>
      </c>
      <c r="E10" s="5">
        <v>722</v>
      </c>
      <c r="F10" s="142">
        <f t="shared" si="0"/>
        <v>-6.8387096774193523E-2</v>
      </c>
      <c r="G10" s="19"/>
    </row>
    <row r="11" spans="1:7" s="140" customFormat="1" ht="15.75" customHeight="1">
      <c r="A11" s="15">
        <v>45658</v>
      </c>
      <c r="B11" s="16" t="s">
        <v>56</v>
      </c>
      <c r="C11" s="42" t="s">
        <v>57</v>
      </c>
      <c r="D11" s="4">
        <v>1060</v>
      </c>
      <c r="E11" s="5">
        <v>1209</v>
      </c>
      <c r="F11" s="143">
        <f t="shared" si="0"/>
        <v>0.14056603773584908</v>
      </c>
      <c r="G11" s="19"/>
    </row>
    <row r="12" spans="1:7" s="140" customFormat="1" ht="15.75" customHeight="1">
      <c r="A12" s="15">
        <v>45658</v>
      </c>
      <c r="B12" s="16" t="s">
        <v>58</v>
      </c>
      <c r="C12" s="42" t="s">
        <v>59</v>
      </c>
      <c r="D12" s="4">
        <v>549</v>
      </c>
      <c r="E12" s="5">
        <v>558</v>
      </c>
      <c r="F12" s="143">
        <f t="shared" si="0"/>
        <v>1.6393442622950838E-2</v>
      </c>
      <c r="G12" s="19"/>
    </row>
    <row r="13" spans="1:7" s="140" customFormat="1" ht="15.75" customHeight="1">
      <c r="A13" s="15">
        <v>45658</v>
      </c>
      <c r="B13" s="16" t="s">
        <v>60</v>
      </c>
      <c r="C13" s="42" t="s">
        <v>61</v>
      </c>
      <c r="D13" s="4">
        <v>1640</v>
      </c>
      <c r="E13" s="5">
        <v>1583</v>
      </c>
      <c r="F13" s="142">
        <f t="shared" si="0"/>
        <v>-3.4756097560975641E-2</v>
      </c>
      <c r="G13" s="19"/>
    </row>
    <row r="14" spans="1:7" s="140" customFormat="1" ht="15.75" customHeight="1">
      <c r="A14" s="44">
        <v>45658</v>
      </c>
      <c r="B14" s="27" t="s">
        <v>62</v>
      </c>
      <c r="C14" s="45" t="s">
        <v>63</v>
      </c>
      <c r="D14" s="28">
        <v>3269</v>
      </c>
      <c r="E14" s="29">
        <v>4046</v>
      </c>
      <c r="F14" s="143">
        <f t="shared" si="0"/>
        <v>0.23768736616702357</v>
      </c>
      <c r="G14" s="19"/>
    </row>
    <row r="15" spans="1:7" s="140" customFormat="1" ht="15.75" customHeight="1">
      <c r="A15" s="15">
        <v>45660</v>
      </c>
      <c r="B15" s="16" t="s">
        <v>64</v>
      </c>
      <c r="C15" s="7" t="s">
        <v>65</v>
      </c>
      <c r="D15" s="4">
        <v>4860</v>
      </c>
      <c r="E15" s="5">
        <v>7250</v>
      </c>
      <c r="F15" s="143">
        <f t="shared" si="0"/>
        <v>0.49176954732510292</v>
      </c>
      <c r="G15" s="19"/>
    </row>
    <row r="16" spans="1:7" s="140" customFormat="1" ht="15.75" customHeight="1">
      <c r="A16" s="44">
        <v>45666</v>
      </c>
      <c r="B16" s="27" t="s">
        <v>66</v>
      </c>
      <c r="C16" s="46" t="s">
        <v>67</v>
      </c>
      <c r="D16" s="28">
        <v>630</v>
      </c>
      <c r="E16" s="29">
        <v>800</v>
      </c>
      <c r="F16" s="143">
        <f t="shared" si="0"/>
        <v>0.26984126984126977</v>
      </c>
      <c r="G16" s="19"/>
    </row>
    <row r="17" spans="1:7" s="140" customFormat="1" ht="15.75" customHeight="1">
      <c r="A17" s="17">
        <v>45686</v>
      </c>
      <c r="B17" s="16" t="s">
        <v>68</v>
      </c>
      <c r="C17" s="42" t="s">
        <v>69</v>
      </c>
      <c r="D17" s="4">
        <v>176</v>
      </c>
      <c r="E17" s="5">
        <v>291</v>
      </c>
      <c r="F17" s="143">
        <f t="shared" si="0"/>
        <v>0.65340909090909083</v>
      </c>
      <c r="G17" s="19"/>
    </row>
    <row r="18" spans="1:7" s="140" customFormat="1" ht="15.75" customHeight="1">
      <c r="A18" s="17">
        <v>45717</v>
      </c>
      <c r="B18" s="16" t="s">
        <v>64</v>
      </c>
      <c r="C18" s="42" t="s">
        <v>70</v>
      </c>
      <c r="D18" s="4">
        <v>4860</v>
      </c>
      <c r="E18" s="5">
        <v>7171</v>
      </c>
      <c r="F18" s="143">
        <f t="shared" si="0"/>
        <v>0.47551440329218098</v>
      </c>
      <c r="G18" s="19"/>
    </row>
    <row r="19" spans="1:7" s="140" customFormat="1" ht="15.75" customHeight="1">
      <c r="A19" s="17">
        <v>45719</v>
      </c>
      <c r="B19" s="16" t="s">
        <v>71</v>
      </c>
      <c r="C19" s="43" t="s">
        <v>72</v>
      </c>
      <c r="D19" s="4">
        <v>115</v>
      </c>
      <c r="E19" s="5">
        <v>175</v>
      </c>
      <c r="F19" s="143">
        <f t="shared" si="0"/>
        <v>0.52173913043478271</v>
      </c>
      <c r="G19" s="19"/>
    </row>
    <row r="20" spans="1:7" s="140" customFormat="1" ht="15.75" customHeight="1">
      <c r="A20" s="17">
        <v>45734</v>
      </c>
      <c r="B20" s="16" t="s">
        <v>73</v>
      </c>
      <c r="C20" s="43" t="s">
        <v>74</v>
      </c>
      <c r="D20" s="4">
        <v>1050</v>
      </c>
      <c r="E20" s="5">
        <v>1107</v>
      </c>
      <c r="F20" s="143">
        <f t="shared" si="0"/>
        <v>5.428571428571427E-2</v>
      </c>
      <c r="G20" s="19"/>
    </row>
    <row r="21" spans="1:7" s="140" customFormat="1" ht="15.75" customHeight="1">
      <c r="A21" s="18">
        <v>45734</v>
      </c>
      <c r="B21" s="19" t="s">
        <v>75</v>
      </c>
      <c r="C21" s="42" t="s">
        <v>76</v>
      </c>
      <c r="D21" s="20">
        <v>5949</v>
      </c>
      <c r="E21" s="21">
        <v>10136</v>
      </c>
      <c r="F21" s="143">
        <f t="shared" si="0"/>
        <v>0.70381576735585805</v>
      </c>
      <c r="G21" s="19"/>
    </row>
    <row r="22" spans="1:7" s="140" customFormat="1" ht="15.75" customHeight="1">
      <c r="A22" s="18">
        <v>45736</v>
      </c>
      <c r="B22" s="19" t="s">
        <v>77</v>
      </c>
      <c r="C22" s="22" t="s">
        <v>78</v>
      </c>
      <c r="D22" s="20">
        <v>1050</v>
      </c>
      <c r="E22" s="21">
        <v>1149</v>
      </c>
      <c r="F22" s="143">
        <f t="shared" si="0"/>
        <v>9.4285714285714306E-2</v>
      </c>
      <c r="G22" s="19"/>
    </row>
    <row r="23" spans="1:7" s="140" customFormat="1" ht="15.75" customHeight="1">
      <c r="A23" s="47">
        <v>45739</v>
      </c>
      <c r="B23" s="48" t="s">
        <v>79</v>
      </c>
      <c r="C23" s="49" t="s">
        <v>29</v>
      </c>
      <c r="D23" s="50">
        <v>632</v>
      </c>
      <c r="E23" s="51">
        <v>1025</v>
      </c>
      <c r="F23" s="144">
        <f t="shared" si="0"/>
        <v>0.62183544303797467</v>
      </c>
      <c r="G23" s="19"/>
    </row>
    <row r="24" spans="1:7" s="140" customFormat="1" ht="15.75" customHeight="1">
      <c r="A24" s="18">
        <v>45744</v>
      </c>
      <c r="B24" s="19" t="s">
        <v>80</v>
      </c>
      <c r="C24" s="22" t="s">
        <v>81</v>
      </c>
      <c r="D24" s="20">
        <v>680</v>
      </c>
      <c r="E24" s="21">
        <v>920</v>
      </c>
      <c r="F24" s="143">
        <f t="shared" si="0"/>
        <v>0.35294117647058831</v>
      </c>
      <c r="G24" s="19"/>
    </row>
    <row r="25" spans="1:7" s="140" customFormat="1" ht="15.75" customHeight="1">
      <c r="A25" s="18">
        <v>45749</v>
      </c>
      <c r="B25" s="19" t="s">
        <v>82</v>
      </c>
      <c r="C25" s="22" t="s">
        <v>83</v>
      </c>
      <c r="D25" s="20">
        <v>511</v>
      </c>
      <c r="E25" s="21">
        <v>914</v>
      </c>
      <c r="F25" s="143">
        <f t="shared" si="0"/>
        <v>0.78864970645792565</v>
      </c>
      <c r="G25" s="19"/>
    </row>
    <row r="26" spans="1:7" s="140" customFormat="1" ht="15.75" customHeight="1">
      <c r="A26" s="18">
        <v>45752</v>
      </c>
      <c r="B26" s="19" t="s">
        <v>38</v>
      </c>
      <c r="C26" s="7" t="s">
        <v>84</v>
      </c>
      <c r="D26" s="20"/>
      <c r="E26" s="21"/>
      <c r="F26" s="143"/>
      <c r="G26" s="19"/>
    </row>
    <row r="27" spans="1:7" s="140" customFormat="1" ht="15.75" customHeight="1">
      <c r="A27" s="18">
        <v>45755</v>
      </c>
      <c r="B27" s="19" t="s">
        <v>85</v>
      </c>
      <c r="C27" s="42" t="s">
        <v>86</v>
      </c>
      <c r="D27" s="20">
        <v>125</v>
      </c>
      <c r="E27" s="21">
        <v>170</v>
      </c>
      <c r="F27" s="143">
        <f t="shared" ref="F27:F46" si="1">E27/D27-1</f>
        <v>0.3600000000000001</v>
      </c>
      <c r="G27" s="19"/>
    </row>
    <row r="28" spans="1:7" s="140" customFormat="1" ht="15.75" customHeight="1">
      <c r="A28" s="18">
        <v>45764</v>
      </c>
      <c r="B28" s="19" t="s">
        <v>87</v>
      </c>
      <c r="C28" s="7" t="s">
        <v>88</v>
      </c>
      <c r="D28" s="20">
        <v>1407</v>
      </c>
      <c r="E28" s="21">
        <v>1443</v>
      </c>
      <c r="F28" s="143">
        <f t="shared" si="1"/>
        <v>2.5586353944562878E-2</v>
      </c>
      <c r="G28" s="19"/>
    </row>
    <row r="29" spans="1:7" s="140" customFormat="1" ht="15.75" customHeight="1">
      <c r="A29" s="18">
        <v>45770</v>
      </c>
      <c r="B29" s="19" t="s">
        <v>89</v>
      </c>
      <c r="C29" s="42" t="s">
        <v>90</v>
      </c>
      <c r="D29" s="20">
        <v>630</v>
      </c>
      <c r="E29" s="21">
        <v>706</v>
      </c>
      <c r="F29" s="143">
        <f t="shared" si="1"/>
        <v>0.12063492063492065</v>
      </c>
      <c r="G29" s="19"/>
    </row>
    <row r="30" spans="1:7" s="140" customFormat="1" ht="15.75" customHeight="1">
      <c r="A30" s="18">
        <v>45770</v>
      </c>
      <c r="B30" s="19" t="s">
        <v>91</v>
      </c>
      <c r="C30" s="42" t="s">
        <v>92</v>
      </c>
      <c r="D30" s="20">
        <v>1135</v>
      </c>
      <c r="E30" s="21">
        <v>1442</v>
      </c>
      <c r="F30" s="143">
        <f t="shared" si="1"/>
        <v>0.27048458149779742</v>
      </c>
      <c r="G30" s="19"/>
    </row>
    <row r="31" spans="1:7" s="140" customFormat="1" ht="15.75" customHeight="1">
      <c r="A31" s="18">
        <v>45770</v>
      </c>
      <c r="B31" s="19" t="s">
        <v>93</v>
      </c>
      <c r="C31" s="42" t="s">
        <v>94</v>
      </c>
      <c r="D31" s="20">
        <v>433</v>
      </c>
      <c r="E31" s="21">
        <v>395</v>
      </c>
      <c r="F31" s="143">
        <f t="shared" si="1"/>
        <v>-8.775981524249421E-2</v>
      </c>
      <c r="G31" s="19"/>
    </row>
    <row r="32" spans="1:7" s="140" customFormat="1" ht="15.75" customHeight="1">
      <c r="A32" s="18">
        <v>45770</v>
      </c>
      <c r="B32" s="19" t="s">
        <v>95</v>
      </c>
      <c r="C32" s="42" t="s">
        <v>96</v>
      </c>
      <c r="D32" s="20">
        <v>90</v>
      </c>
      <c r="E32" s="21">
        <v>83</v>
      </c>
      <c r="F32" s="143">
        <f t="shared" si="1"/>
        <v>-7.7777777777777724E-2</v>
      </c>
      <c r="G32" s="19"/>
    </row>
    <row r="33" spans="1:7" s="140" customFormat="1" ht="15.75" customHeight="1">
      <c r="A33" s="18">
        <v>45771</v>
      </c>
      <c r="B33" s="19" t="s">
        <v>97</v>
      </c>
      <c r="C33" s="42" t="s">
        <v>98</v>
      </c>
      <c r="D33" s="20">
        <v>342</v>
      </c>
      <c r="E33" s="21">
        <v>389</v>
      </c>
      <c r="F33" s="143">
        <f t="shared" si="1"/>
        <v>0.13742690058479523</v>
      </c>
      <c r="G33" s="19"/>
    </row>
    <row r="34" spans="1:7" s="140" customFormat="1" ht="15.75" customHeight="1">
      <c r="A34" s="52">
        <v>45771</v>
      </c>
      <c r="B34" s="53" t="s">
        <v>99</v>
      </c>
      <c r="C34" s="54" t="s">
        <v>100</v>
      </c>
      <c r="D34" s="55">
        <v>68</v>
      </c>
      <c r="E34" s="56">
        <v>84</v>
      </c>
      <c r="F34" s="145">
        <f t="shared" si="1"/>
        <v>0.23529411764705888</v>
      </c>
      <c r="G34" s="19"/>
    </row>
    <row r="35" spans="1:7" s="140" customFormat="1" ht="15.75" customHeight="1">
      <c r="A35" s="23">
        <v>45771</v>
      </c>
      <c r="B35" s="19" t="s">
        <v>101</v>
      </c>
      <c r="C35" s="22" t="s">
        <v>102</v>
      </c>
      <c r="D35" s="20">
        <v>920</v>
      </c>
      <c r="E35" s="21">
        <v>1063</v>
      </c>
      <c r="F35" s="143">
        <f t="shared" si="1"/>
        <v>0.1554347826086957</v>
      </c>
      <c r="G35" s="19"/>
    </row>
    <row r="36" spans="1:7" s="140" customFormat="1" ht="15.75" customHeight="1">
      <c r="A36" s="23">
        <v>45771</v>
      </c>
      <c r="B36" s="19" t="s">
        <v>103</v>
      </c>
      <c r="C36" s="22" t="s">
        <v>100</v>
      </c>
      <c r="D36" s="20">
        <v>68</v>
      </c>
      <c r="E36" s="21">
        <v>78</v>
      </c>
      <c r="F36" s="143">
        <f t="shared" si="1"/>
        <v>0.14705882352941169</v>
      </c>
      <c r="G36" s="19"/>
    </row>
    <row r="37" spans="1:7" s="140" customFormat="1" ht="15.75" customHeight="1">
      <c r="A37" s="23">
        <v>45792</v>
      </c>
      <c r="B37" s="19" t="s">
        <v>104</v>
      </c>
      <c r="C37" s="22" t="s">
        <v>105</v>
      </c>
      <c r="D37" s="20">
        <v>493</v>
      </c>
      <c r="E37" s="21">
        <v>611</v>
      </c>
      <c r="F37" s="143">
        <f t="shared" si="1"/>
        <v>0.23935091277890463</v>
      </c>
      <c r="G37" s="19"/>
    </row>
    <row r="38" spans="1:7" s="140" customFormat="1" ht="15.75" customHeight="1">
      <c r="A38" s="23">
        <v>45793</v>
      </c>
      <c r="B38" s="19" t="s">
        <v>106</v>
      </c>
      <c r="C38" s="42" t="s">
        <v>107</v>
      </c>
      <c r="D38" s="20">
        <v>345</v>
      </c>
      <c r="E38" s="21">
        <v>469</v>
      </c>
      <c r="F38" s="143">
        <f t="shared" si="1"/>
        <v>0.35942028985507246</v>
      </c>
      <c r="G38" s="19"/>
    </row>
    <row r="39" spans="1:7" s="140" customFormat="1" ht="15.75" customHeight="1">
      <c r="A39" s="18">
        <v>45800</v>
      </c>
      <c r="B39" s="19" t="s">
        <v>15</v>
      </c>
      <c r="C39" s="24" t="s">
        <v>108</v>
      </c>
      <c r="D39" s="20">
        <v>3551</v>
      </c>
      <c r="E39" s="21">
        <v>3904</v>
      </c>
      <c r="F39" s="143">
        <f t="shared" si="1"/>
        <v>9.9408617290903889E-2</v>
      </c>
      <c r="G39" s="19"/>
    </row>
    <row r="40" spans="1:7" s="140" customFormat="1" ht="15.75" customHeight="1">
      <c r="A40" s="23">
        <v>45803</v>
      </c>
      <c r="B40" s="19" t="s">
        <v>109</v>
      </c>
      <c r="C40" s="7" t="s">
        <v>110</v>
      </c>
      <c r="D40" s="20">
        <v>2073</v>
      </c>
      <c r="E40" s="21">
        <v>2902</v>
      </c>
      <c r="F40" s="143">
        <f t="shared" si="1"/>
        <v>0.39990352146647368</v>
      </c>
      <c r="G40" s="19"/>
    </row>
    <row r="41" spans="1:7" s="140" customFormat="1" ht="15.75" customHeight="1">
      <c r="A41" s="23">
        <v>45804</v>
      </c>
      <c r="B41" s="19" t="s">
        <v>111</v>
      </c>
      <c r="C41" s="42" t="s">
        <v>112</v>
      </c>
      <c r="D41" s="20">
        <v>330</v>
      </c>
      <c r="E41" s="21">
        <v>432</v>
      </c>
      <c r="F41" s="143">
        <f t="shared" si="1"/>
        <v>0.30909090909090908</v>
      </c>
      <c r="G41" s="19"/>
    </row>
    <row r="42" spans="1:7" s="140" customFormat="1" ht="15.75" customHeight="1">
      <c r="A42" s="23">
        <v>45823</v>
      </c>
      <c r="B42" s="19" t="s">
        <v>113</v>
      </c>
      <c r="C42" s="25" t="s">
        <v>114</v>
      </c>
      <c r="D42" s="20">
        <v>227</v>
      </c>
      <c r="E42" s="26">
        <v>217</v>
      </c>
      <c r="F42" s="143">
        <f t="shared" si="1"/>
        <v>-4.4052863436123357E-2</v>
      </c>
      <c r="G42" s="19"/>
    </row>
    <row r="43" spans="1:7" s="140" customFormat="1" ht="15.75" customHeight="1">
      <c r="A43" s="23">
        <v>45825</v>
      </c>
      <c r="B43" s="19" t="s">
        <v>34</v>
      </c>
      <c r="C43" s="25" t="s">
        <v>35</v>
      </c>
      <c r="D43" s="20">
        <v>694</v>
      </c>
      <c r="E43" s="26">
        <v>797</v>
      </c>
      <c r="F43" s="143">
        <f t="shared" si="1"/>
        <v>0.14841498559077815</v>
      </c>
      <c r="G43" s="19"/>
    </row>
    <row r="44" spans="1:7" s="140" customFormat="1" ht="15.75" customHeight="1">
      <c r="A44" s="23">
        <v>45826</v>
      </c>
      <c r="B44" s="19" t="s">
        <v>115</v>
      </c>
      <c r="C44" s="25" t="s">
        <v>116</v>
      </c>
      <c r="D44" s="20">
        <v>4228</v>
      </c>
      <c r="E44" s="26">
        <v>3882</v>
      </c>
      <c r="F44" s="143">
        <f t="shared" si="1"/>
        <v>-8.1835383159886477E-2</v>
      </c>
      <c r="G44" s="19"/>
    </row>
    <row r="45" spans="1:7" s="140" customFormat="1" ht="15.75" customHeight="1">
      <c r="A45" s="23">
        <v>45828</v>
      </c>
      <c r="B45" s="19" t="s">
        <v>117</v>
      </c>
      <c r="C45" s="25" t="s">
        <v>118</v>
      </c>
      <c r="D45" s="20">
        <v>1877</v>
      </c>
      <c r="E45" s="26">
        <v>2060</v>
      </c>
      <c r="F45" s="143">
        <f t="shared" si="1"/>
        <v>9.7496004262120461E-2</v>
      </c>
      <c r="G45" s="19"/>
    </row>
    <row r="46" spans="1:7" s="140" customFormat="1" ht="15.75" customHeight="1">
      <c r="A46" s="23">
        <v>45838</v>
      </c>
      <c r="B46" s="19" t="s">
        <v>119</v>
      </c>
      <c r="C46" s="25" t="s">
        <v>120</v>
      </c>
      <c r="D46" s="20">
        <v>110</v>
      </c>
      <c r="E46" s="26">
        <v>116</v>
      </c>
      <c r="F46" s="143">
        <f t="shared" si="1"/>
        <v>5.4545454545454453E-2</v>
      </c>
      <c r="G46" s="19"/>
    </row>
    <row r="47" spans="1:7" s="140" customFormat="1" ht="15.75" customHeight="1">
      <c r="A47" s="23">
        <v>45852</v>
      </c>
      <c r="B47" s="19" t="s">
        <v>121</v>
      </c>
      <c r="C47" s="57" t="s">
        <v>122</v>
      </c>
      <c r="D47" s="20">
        <v>2033</v>
      </c>
      <c r="E47" s="26">
        <v>2330</v>
      </c>
      <c r="F47" s="143">
        <f>(E47-D47)/E47</f>
        <v>0.12746781115879829</v>
      </c>
      <c r="G47" s="19"/>
    </row>
    <row r="48" spans="1:7" s="140" customFormat="1" ht="15.75" customHeight="1">
      <c r="A48" s="58">
        <v>45850</v>
      </c>
      <c r="B48" s="19" t="s">
        <v>123</v>
      </c>
      <c r="C48" s="42" t="s">
        <v>124</v>
      </c>
      <c r="D48" s="20">
        <v>1173</v>
      </c>
      <c r="E48" s="21">
        <v>1105</v>
      </c>
      <c r="F48" s="143">
        <f t="shared" ref="F48:F50" si="2">E48/D48-1</f>
        <v>-5.7971014492753659E-2</v>
      </c>
      <c r="G48" s="19"/>
    </row>
    <row r="49" spans="1:7" s="140" customFormat="1" ht="15.75" customHeight="1">
      <c r="A49" s="23">
        <v>45819</v>
      </c>
      <c r="B49" s="19" t="s">
        <v>23</v>
      </c>
      <c r="C49" s="42" t="s">
        <v>125</v>
      </c>
      <c r="D49" s="20">
        <v>2671</v>
      </c>
      <c r="E49" s="21">
        <v>2904</v>
      </c>
      <c r="F49" s="143">
        <f t="shared" si="2"/>
        <v>8.7233245975290252E-2</v>
      </c>
      <c r="G49" s="19"/>
    </row>
    <row r="50" spans="1:7" s="140" customFormat="1" ht="15.75" customHeight="1">
      <c r="A50" s="23">
        <v>45821</v>
      </c>
      <c r="B50" s="19" t="s">
        <v>126</v>
      </c>
      <c r="C50" s="7" t="s">
        <v>127</v>
      </c>
      <c r="D50" s="20">
        <v>353</v>
      </c>
      <c r="E50" s="21">
        <v>418</v>
      </c>
      <c r="F50" s="143">
        <f t="shared" si="2"/>
        <v>0.18413597733711051</v>
      </c>
      <c r="G50" s="19"/>
    </row>
    <row r="51" spans="1:7" s="140" customFormat="1" ht="15.75" customHeight="1">
      <c r="A51" s="23">
        <v>45825</v>
      </c>
      <c r="B51" s="19" t="s">
        <v>128</v>
      </c>
      <c r="C51" s="42" t="s">
        <v>129</v>
      </c>
      <c r="D51" s="20">
        <v>694</v>
      </c>
      <c r="E51" s="21">
        <v>785</v>
      </c>
      <c r="F51" s="143">
        <f t="shared" ref="F51:F65" si="3">(E51-D51)/E51</f>
        <v>0.11592356687898089</v>
      </c>
      <c r="G51" s="19"/>
    </row>
    <row r="52" spans="1:7" s="140" customFormat="1" ht="15.75" customHeight="1">
      <c r="A52" s="59">
        <v>45841</v>
      </c>
      <c r="B52" s="31" t="s">
        <v>130</v>
      </c>
      <c r="C52" s="60" t="s">
        <v>131</v>
      </c>
      <c r="D52" s="33">
        <v>2581</v>
      </c>
      <c r="E52" s="34">
        <v>3279</v>
      </c>
      <c r="F52" s="143">
        <f t="shared" si="3"/>
        <v>0.21286977737114973</v>
      </c>
      <c r="G52" s="19"/>
    </row>
    <row r="53" spans="1:7" s="140" customFormat="1" ht="15.75" customHeight="1">
      <c r="A53" s="23">
        <v>45845</v>
      </c>
      <c r="B53" s="19" t="s">
        <v>132</v>
      </c>
      <c r="C53" s="42" t="s">
        <v>133</v>
      </c>
      <c r="D53" s="20">
        <v>3436</v>
      </c>
      <c r="E53" s="21">
        <v>4030</v>
      </c>
      <c r="F53" s="143">
        <f t="shared" si="3"/>
        <v>0.14739454094292803</v>
      </c>
      <c r="G53" s="19"/>
    </row>
    <row r="54" spans="1:7" s="140" customFormat="1" ht="15.75" customHeight="1">
      <c r="A54" s="23">
        <v>45845</v>
      </c>
      <c r="B54" s="19" t="s">
        <v>134</v>
      </c>
      <c r="C54" s="42" t="s">
        <v>135</v>
      </c>
      <c r="D54" s="20">
        <v>2410</v>
      </c>
      <c r="E54" s="21">
        <v>2580</v>
      </c>
      <c r="F54" s="143">
        <f t="shared" si="3"/>
        <v>6.589147286821706E-2</v>
      </c>
      <c r="G54" s="19"/>
    </row>
    <row r="55" spans="1:7" s="140" customFormat="1" ht="15.75" customHeight="1">
      <c r="A55" s="61">
        <v>45853</v>
      </c>
      <c r="B55" s="62" t="s">
        <v>136</v>
      </c>
      <c r="C55" s="63" t="s">
        <v>137</v>
      </c>
      <c r="D55" s="64">
        <v>808</v>
      </c>
      <c r="E55" s="65">
        <v>723</v>
      </c>
      <c r="F55" s="143">
        <f t="shared" si="3"/>
        <v>-0.11756569847856155</v>
      </c>
      <c r="G55" s="19"/>
    </row>
    <row r="56" spans="1:7" s="140" customFormat="1" ht="15.75" customHeight="1">
      <c r="A56" s="23">
        <v>45853</v>
      </c>
      <c r="B56" s="19" t="s">
        <v>138</v>
      </c>
      <c r="C56" s="42" t="s">
        <v>139</v>
      </c>
      <c r="D56" s="20">
        <v>4454</v>
      </c>
      <c r="E56" s="21">
        <v>6002</v>
      </c>
      <c r="F56" s="143">
        <f t="shared" si="3"/>
        <v>0.25791402865711427</v>
      </c>
      <c r="G56" s="19"/>
    </row>
    <row r="57" spans="1:7" s="140" customFormat="1" ht="15.75" customHeight="1">
      <c r="A57" s="66">
        <v>45854</v>
      </c>
      <c r="B57" s="67" t="s">
        <v>140</v>
      </c>
      <c r="C57" s="68" t="s">
        <v>141</v>
      </c>
      <c r="D57" s="69">
        <v>530</v>
      </c>
      <c r="E57" s="70">
        <v>770</v>
      </c>
      <c r="F57" s="143">
        <f t="shared" si="3"/>
        <v>0.31168831168831168</v>
      </c>
      <c r="G57" s="19"/>
    </row>
    <row r="58" spans="1:7" s="140" customFormat="1" ht="15.75" customHeight="1">
      <c r="A58" s="66">
        <v>45854</v>
      </c>
      <c r="B58" s="67" t="s">
        <v>142</v>
      </c>
      <c r="C58" s="68" t="s">
        <v>143</v>
      </c>
      <c r="D58" s="69">
        <v>1190</v>
      </c>
      <c r="E58" s="70">
        <v>1680</v>
      </c>
      <c r="F58" s="146">
        <f t="shared" si="3"/>
        <v>0.29166666666666669</v>
      </c>
      <c r="G58" s="19"/>
    </row>
    <row r="59" spans="1:7" s="140" customFormat="1" ht="15.75" customHeight="1">
      <c r="A59" s="23">
        <v>45857</v>
      </c>
      <c r="B59" s="19" t="s">
        <v>144</v>
      </c>
      <c r="C59" s="7" t="s">
        <v>145</v>
      </c>
      <c r="D59" s="20">
        <v>1763</v>
      </c>
      <c r="E59" s="21">
        <v>2020</v>
      </c>
      <c r="F59" s="146">
        <f t="shared" si="3"/>
        <v>0.12722772277227723</v>
      </c>
      <c r="G59" s="19"/>
    </row>
    <row r="60" spans="1:7" s="140" customFormat="1" ht="15.75" customHeight="1">
      <c r="A60" s="19" t="s">
        <v>146</v>
      </c>
      <c r="B60" s="19" t="s">
        <v>147</v>
      </c>
      <c r="C60" s="22" t="s">
        <v>148</v>
      </c>
      <c r="D60" s="20">
        <v>697</v>
      </c>
      <c r="E60" s="21">
        <v>836</v>
      </c>
      <c r="F60" s="146">
        <f t="shared" si="3"/>
        <v>0.16626794258373206</v>
      </c>
      <c r="G60" s="19"/>
    </row>
    <row r="61" spans="1:7" s="140" customFormat="1" ht="15.75" customHeight="1">
      <c r="A61" s="23">
        <v>45859</v>
      </c>
      <c r="B61" s="19" t="s">
        <v>149</v>
      </c>
      <c r="C61" s="42" t="s">
        <v>150</v>
      </c>
      <c r="D61" s="20">
        <v>3246</v>
      </c>
      <c r="E61" s="21">
        <v>3729</v>
      </c>
      <c r="F61" s="143">
        <f t="shared" si="3"/>
        <v>0.12952534191472245</v>
      </c>
      <c r="G61" s="19"/>
    </row>
    <row r="62" spans="1:7" s="140" customFormat="1" ht="15.75" customHeight="1">
      <c r="A62" s="71">
        <v>45860</v>
      </c>
      <c r="B62" s="19" t="s">
        <v>151</v>
      </c>
      <c r="C62" s="42" t="s">
        <v>152</v>
      </c>
      <c r="D62" s="20">
        <v>962</v>
      </c>
      <c r="E62" s="21">
        <v>961</v>
      </c>
      <c r="F62" s="143">
        <f t="shared" si="3"/>
        <v>-1.0405827263267431E-3</v>
      </c>
      <c r="G62" s="19"/>
    </row>
    <row r="63" spans="1:7" s="140" customFormat="1" ht="15.75" customHeight="1">
      <c r="A63" s="71">
        <v>45860</v>
      </c>
      <c r="B63" s="19" t="s">
        <v>153</v>
      </c>
      <c r="C63" s="7" t="s">
        <v>154</v>
      </c>
      <c r="D63" s="20">
        <v>299</v>
      </c>
      <c r="E63" s="21">
        <v>347</v>
      </c>
      <c r="F63" s="143">
        <f t="shared" si="3"/>
        <v>0.13832853025936601</v>
      </c>
      <c r="G63" s="19"/>
    </row>
    <row r="64" spans="1:7" s="140" customFormat="1" ht="15.75" customHeight="1">
      <c r="A64" s="71">
        <v>45862</v>
      </c>
      <c r="B64" s="19" t="s">
        <v>155</v>
      </c>
      <c r="C64" s="42" t="s">
        <v>156</v>
      </c>
      <c r="D64" s="20">
        <v>1095</v>
      </c>
      <c r="E64" s="21">
        <v>1263</v>
      </c>
      <c r="F64" s="143">
        <f t="shared" si="3"/>
        <v>0.1330166270783848</v>
      </c>
      <c r="G64" s="19"/>
    </row>
    <row r="65" spans="1:7" s="140" customFormat="1" ht="15.75" customHeight="1">
      <c r="A65" s="71">
        <v>45867</v>
      </c>
      <c r="B65" s="19" t="s">
        <v>157</v>
      </c>
      <c r="C65" s="7" t="s">
        <v>158</v>
      </c>
      <c r="D65" s="20">
        <v>71</v>
      </c>
      <c r="E65" s="21">
        <v>80</v>
      </c>
      <c r="F65" s="143">
        <f t="shared" si="3"/>
        <v>0.1125</v>
      </c>
      <c r="G65" s="19"/>
    </row>
    <row r="66" spans="1:7" s="140" customFormat="1" ht="15.75" customHeight="1">
      <c r="A66" s="71">
        <v>45870</v>
      </c>
      <c r="B66" s="19" t="s">
        <v>159</v>
      </c>
      <c r="C66" s="7" t="s">
        <v>160</v>
      </c>
      <c r="D66" s="20">
        <v>471</v>
      </c>
      <c r="E66" s="21">
        <v>651</v>
      </c>
      <c r="F66" s="143"/>
      <c r="G66" s="19"/>
    </row>
    <row r="67" spans="1:7" s="140" customFormat="1" ht="15.75" customHeight="1">
      <c r="A67" s="71">
        <v>45872</v>
      </c>
      <c r="B67" s="19" t="s">
        <v>161</v>
      </c>
      <c r="C67" s="42" t="s">
        <v>162</v>
      </c>
      <c r="D67" s="20">
        <v>2825</v>
      </c>
      <c r="E67" s="21">
        <v>3492</v>
      </c>
      <c r="F67" s="143">
        <f>(E67-D67)/E67</f>
        <v>0.19100801832760594</v>
      </c>
      <c r="G67" s="19"/>
    </row>
    <row r="68" spans="1:7" s="140" customFormat="1" ht="15.75" customHeight="1">
      <c r="A68" s="72">
        <v>45875</v>
      </c>
      <c r="B68" s="19" t="s">
        <v>39</v>
      </c>
      <c r="C68" s="24" t="s">
        <v>163</v>
      </c>
      <c r="D68" s="20"/>
      <c r="E68" s="21"/>
      <c r="F68" s="143"/>
      <c r="G68" s="19"/>
    </row>
    <row r="69" spans="1:7" s="140" customFormat="1" ht="15.75" customHeight="1">
      <c r="A69" s="72">
        <v>45879</v>
      </c>
      <c r="B69" s="19" t="s">
        <v>164</v>
      </c>
      <c r="C69" s="24" t="s">
        <v>165</v>
      </c>
      <c r="D69" s="20">
        <v>1086</v>
      </c>
      <c r="E69" s="21">
        <v>1338</v>
      </c>
      <c r="F69" s="143">
        <f t="shared" ref="F69:F75" si="4">(E69-D69)/E69</f>
        <v>0.18834080717488788</v>
      </c>
      <c r="G69" s="19"/>
    </row>
    <row r="70" spans="1:7" s="140" customFormat="1" ht="15.75" customHeight="1">
      <c r="A70" s="71">
        <v>45881</v>
      </c>
      <c r="B70" s="19" t="s">
        <v>166</v>
      </c>
      <c r="C70" s="42" t="s">
        <v>167</v>
      </c>
      <c r="D70" s="20">
        <v>51.94</v>
      </c>
      <c r="E70" s="21">
        <v>78</v>
      </c>
      <c r="F70" s="143">
        <f t="shared" si="4"/>
        <v>0.33410256410256411</v>
      </c>
      <c r="G70" s="19"/>
    </row>
    <row r="71" spans="1:7" s="140" customFormat="1" ht="15.75" customHeight="1">
      <c r="A71" s="71">
        <v>45882</v>
      </c>
      <c r="B71" s="19" t="s">
        <v>168</v>
      </c>
      <c r="C71" s="7" t="s">
        <v>169</v>
      </c>
      <c r="D71" s="20">
        <v>603</v>
      </c>
      <c r="E71" s="21">
        <v>705</v>
      </c>
      <c r="F71" s="143">
        <f t="shared" si="4"/>
        <v>0.14468085106382977</v>
      </c>
      <c r="G71" s="19"/>
    </row>
    <row r="72" spans="1:7" s="140" customFormat="1" ht="15.75" customHeight="1">
      <c r="A72" s="71">
        <v>45882</v>
      </c>
      <c r="B72" s="19" t="s">
        <v>170</v>
      </c>
      <c r="C72" s="7" t="s">
        <v>171</v>
      </c>
      <c r="D72" s="20">
        <v>863</v>
      </c>
      <c r="E72" s="21">
        <v>939</v>
      </c>
      <c r="F72" s="143">
        <f t="shared" si="4"/>
        <v>8.0937167199148036E-2</v>
      </c>
      <c r="G72" s="19"/>
    </row>
    <row r="73" spans="1:7" s="140" customFormat="1" ht="15.75" customHeight="1">
      <c r="A73" s="71">
        <v>45893</v>
      </c>
      <c r="B73" s="19" t="s">
        <v>46</v>
      </c>
      <c r="C73" s="42" t="s">
        <v>172</v>
      </c>
      <c r="D73" s="20">
        <v>235</v>
      </c>
      <c r="E73" s="21">
        <v>322</v>
      </c>
      <c r="F73" s="143">
        <f t="shared" si="4"/>
        <v>0.27018633540372672</v>
      </c>
      <c r="G73" s="19"/>
    </row>
    <row r="74" spans="1:7" s="140" customFormat="1" ht="15.75" customHeight="1">
      <c r="A74" s="73">
        <v>45896</v>
      </c>
      <c r="B74" s="19" t="s">
        <v>173</v>
      </c>
      <c r="C74" s="74" t="s">
        <v>174</v>
      </c>
      <c r="D74" s="20">
        <v>3319</v>
      </c>
      <c r="E74" s="21">
        <v>3725</v>
      </c>
      <c r="F74" s="143">
        <f t="shared" si="4"/>
        <v>0.10899328859060403</v>
      </c>
      <c r="G74" s="19"/>
    </row>
    <row r="75" spans="1:7" s="140" customFormat="1" ht="15.75" customHeight="1">
      <c r="A75" s="73">
        <v>45900</v>
      </c>
      <c r="B75" s="19" t="s">
        <v>175</v>
      </c>
      <c r="C75" s="24" t="s">
        <v>176</v>
      </c>
      <c r="D75" s="20">
        <v>2243</v>
      </c>
      <c r="E75" s="21">
        <v>2388</v>
      </c>
      <c r="F75" s="143">
        <f t="shared" si="4"/>
        <v>6.0720268006700169E-2</v>
      </c>
      <c r="G75" s="19"/>
    </row>
    <row r="76" spans="1:7" s="140" customFormat="1" ht="15.75" customHeight="1">
      <c r="A76" s="19"/>
      <c r="B76" s="23"/>
      <c r="C76" s="147">
        <v>45901</v>
      </c>
      <c r="D76" s="20"/>
      <c r="E76" s="21"/>
      <c r="F76" s="148"/>
      <c r="G76" s="19"/>
    </row>
    <row r="77" spans="1:7" s="140" customFormat="1" ht="15.75" customHeight="1">
      <c r="A77" s="75">
        <v>45902</v>
      </c>
      <c r="B77" s="76" t="s">
        <v>177</v>
      </c>
      <c r="C77" s="77" t="s">
        <v>178</v>
      </c>
      <c r="D77" s="78">
        <v>207</v>
      </c>
      <c r="E77" s="79">
        <v>316</v>
      </c>
      <c r="F77" s="143">
        <f t="shared" ref="F77:F84" si="5">(E77-D77)/E77</f>
        <v>0.3449367088607595</v>
      </c>
      <c r="G77" s="19"/>
    </row>
    <row r="78" spans="1:7" s="140" customFormat="1" ht="15.75" customHeight="1">
      <c r="A78" s="80">
        <v>45911</v>
      </c>
      <c r="B78" s="48" t="s">
        <v>179</v>
      </c>
      <c r="C78" s="81" t="s">
        <v>180</v>
      </c>
      <c r="D78" s="50">
        <v>1015</v>
      </c>
      <c r="E78" s="51">
        <v>1133</v>
      </c>
      <c r="F78" s="144">
        <f t="shared" si="5"/>
        <v>0.10414827890556046</v>
      </c>
      <c r="G78" s="19"/>
    </row>
    <row r="79" spans="1:7" s="140" customFormat="1" ht="15.75" customHeight="1">
      <c r="A79" s="73">
        <v>45912</v>
      </c>
      <c r="B79" s="19" t="s">
        <v>181</v>
      </c>
      <c r="C79" s="42" t="s">
        <v>182</v>
      </c>
      <c r="D79" s="20">
        <v>1104</v>
      </c>
      <c r="E79" s="21">
        <v>1210</v>
      </c>
      <c r="F79" s="143">
        <f t="shared" si="5"/>
        <v>8.7603305785123972E-2</v>
      </c>
      <c r="G79" s="19"/>
    </row>
    <row r="80" spans="1:7" s="140" customFormat="1" ht="15.75" customHeight="1">
      <c r="A80" s="73">
        <v>45912</v>
      </c>
      <c r="B80" s="19" t="s">
        <v>183</v>
      </c>
      <c r="C80" s="42" t="s">
        <v>184</v>
      </c>
      <c r="D80" s="20">
        <v>977</v>
      </c>
      <c r="E80" s="21">
        <v>1089</v>
      </c>
      <c r="F80" s="143">
        <f t="shared" si="5"/>
        <v>0.10284664830119375</v>
      </c>
      <c r="G80" s="19"/>
    </row>
    <row r="81" spans="1:7" s="140" customFormat="1" ht="15.75" customHeight="1">
      <c r="A81" s="73">
        <v>45912</v>
      </c>
      <c r="B81" s="19" t="s">
        <v>185</v>
      </c>
      <c r="C81" s="42" t="s">
        <v>186</v>
      </c>
      <c r="D81" s="20">
        <v>4207</v>
      </c>
      <c r="E81" s="34">
        <v>4438</v>
      </c>
      <c r="F81" s="143">
        <f t="shared" si="5"/>
        <v>5.2050473186119876E-2</v>
      </c>
      <c r="G81" s="19"/>
    </row>
    <row r="82" spans="1:7" s="140" customFormat="1" ht="15.75" customHeight="1">
      <c r="A82" s="35">
        <v>45912</v>
      </c>
      <c r="B82" s="31" t="s">
        <v>187</v>
      </c>
      <c r="C82" s="82" t="s">
        <v>188</v>
      </c>
      <c r="D82" s="33">
        <v>260</v>
      </c>
      <c r="E82" s="34">
        <v>343</v>
      </c>
      <c r="F82" s="143">
        <f t="shared" si="5"/>
        <v>0.24198250728862974</v>
      </c>
      <c r="G82" s="19"/>
    </row>
    <row r="83" spans="1:7" s="140" customFormat="1" ht="15.75" customHeight="1">
      <c r="A83" s="19" t="s">
        <v>189</v>
      </c>
      <c r="B83" s="19" t="s">
        <v>190</v>
      </c>
      <c r="C83" s="24" t="s">
        <v>191</v>
      </c>
      <c r="D83" s="20">
        <v>534</v>
      </c>
      <c r="E83" s="21">
        <v>564</v>
      </c>
      <c r="F83" s="143">
        <f t="shared" si="5"/>
        <v>5.3191489361702128E-2</v>
      </c>
      <c r="G83" s="19"/>
    </row>
    <row r="84" spans="1:7" s="140" customFormat="1" ht="15.75" customHeight="1">
      <c r="A84" s="73">
        <v>45914</v>
      </c>
      <c r="B84" s="19" t="s">
        <v>192</v>
      </c>
      <c r="C84" s="24" t="s">
        <v>193</v>
      </c>
      <c r="D84" s="20">
        <v>876</v>
      </c>
      <c r="E84" s="21">
        <v>845</v>
      </c>
      <c r="F84" s="143">
        <f t="shared" si="5"/>
        <v>-3.6686390532544376E-2</v>
      </c>
      <c r="G84" s="19"/>
    </row>
    <row r="85" spans="1:7" s="140" customFormat="1" ht="15.75" customHeight="1">
      <c r="A85" s="83"/>
      <c r="B85" s="83"/>
      <c r="C85" s="83"/>
      <c r="G85" s="19"/>
    </row>
    <row r="86" spans="1:7" s="140" customFormat="1" ht="15.75" customHeight="1">
      <c r="A86" s="73">
        <v>45910</v>
      </c>
      <c r="B86" s="19" t="s">
        <v>194</v>
      </c>
      <c r="C86" s="84" t="s">
        <v>102</v>
      </c>
      <c r="D86" s="20">
        <v>963</v>
      </c>
      <c r="E86" s="21">
        <v>1036</v>
      </c>
      <c r="F86" s="143">
        <f t="shared" ref="F86:F117" si="6">(E86-D86)/E86</f>
        <v>7.0463320463320461E-2</v>
      </c>
      <c r="G86" s="19"/>
    </row>
    <row r="87" spans="1:7" s="140" customFormat="1" ht="15.75" customHeight="1">
      <c r="A87" s="72">
        <v>45916</v>
      </c>
      <c r="B87" s="19" t="s">
        <v>31</v>
      </c>
      <c r="C87" s="24" t="s">
        <v>32</v>
      </c>
      <c r="D87" s="20">
        <v>1058</v>
      </c>
      <c r="E87" s="21">
        <v>1022</v>
      </c>
      <c r="F87" s="143">
        <f t="shared" si="6"/>
        <v>-3.5225048923679059E-2</v>
      </c>
      <c r="G87" s="19"/>
    </row>
    <row r="88" spans="1:7" s="140" customFormat="1" ht="15.75" customHeight="1">
      <c r="A88" s="85">
        <v>45917</v>
      </c>
      <c r="B88" s="83" t="s">
        <v>195</v>
      </c>
      <c r="C88" s="86" t="s">
        <v>196</v>
      </c>
      <c r="D88" s="83">
        <v>1939</v>
      </c>
      <c r="E88" s="21">
        <v>2029</v>
      </c>
      <c r="F88" s="143">
        <f t="shared" si="6"/>
        <v>4.435682602267127E-2</v>
      </c>
      <c r="G88" s="19"/>
    </row>
    <row r="89" spans="1:7" s="140" customFormat="1" ht="15.75" customHeight="1">
      <c r="A89" s="73">
        <v>45917</v>
      </c>
      <c r="B89" s="19" t="s">
        <v>197</v>
      </c>
      <c r="C89" s="24" t="s">
        <v>198</v>
      </c>
      <c r="D89" s="20">
        <v>1583</v>
      </c>
      <c r="E89" s="21">
        <v>1733</v>
      </c>
      <c r="F89" s="143">
        <f t="shared" si="6"/>
        <v>8.6555106751298322E-2</v>
      </c>
      <c r="G89" s="19"/>
    </row>
    <row r="90" spans="1:7" s="140" customFormat="1" ht="15.75" customHeight="1">
      <c r="A90" s="72">
        <v>45917</v>
      </c>
      <c r="B90" s="19" t="s">
        <v>199</v>
      </c>
      <c r="C90" s="24" t="s">
        <v>200</v>
      </c>
      <c r="D90" s="20">
        <v>690</v>
      </c>
      <c r="E90" s="21">
        <v>717</v>
      </c>
      <c r="F90" s="143">
        <f t="shared" si="6"/>
        <v>3.7656903765690378E-2</v>
      </c>
      <c r="G90" s="19"/>
    </row>
    <row r="91" spans="1:7" s="140" customFormat="1" ht="15.75" customHeight="1">
      <c r="A91" s="72">
        <v>45917</v>
      </c>
      <c r="B91" s="19" t="s">
        <v>201</v>
      </c>
      <c r="C91" s="24" t="s">
        <v>202</v>
      </c>
      <c r="D91" s="20">
        <v>325</v>
      </c>
      <c r="E91" s="21">
        <v>293</v>
      </c>
      <c r="F91" s="143">
        <f t="shared" si="6"/>
        <v>-0.10921501706484642</v>
      </c>
      <c r="G91" s="19"/>
    </row>
    <row r="92" spans="1:7" s="140" customFormat="1" ht="15.75" customHeight="1">
      <c r="A92" s="72">
        <v>45917</v>
      </c>
      <c r="B92" s="19" t="s">
        <v>203</v>
      </c>
      <c r="C92" s="24" t="s">
        <v>204</v>
      </c>
      <c r="D92" s="20">
        <v>626</v>
      </c>
      <c r="E92" s="21">
        <v>799</v>
      </c>
      <c r="F92" s="143">
        <f t="shared" si="6"/>
        <v>0.2165206508135169</v>
      </c>
      <c r="G92" s="19"/>
    </row>
    <row r="93" spans="1:7" s="140" customFormat="1" ht="15.75" customHeight="1">
      <c r="A93" s="73">
        <v>45917</v>
      </c>
      <c r="B93" s="19" t="s">
        <v>104</v>
      </c>
      <c r="C93" s="24" t="s">
        <v>205</v>
      </c>
      <c r="D93" s="20">
        <v>493</v>
      </c>
      <c r="E93" s="21">
        <v>621</v>
      </c>
      <c r="F93" s="143">
        <f t="shared" si="6"/>
        <v>0.20611916264090177</v>
      </c>
      <c r="G93" s="19"/>
    </row>
    <row r="94" spans="1:7" s="140" customFormat="1" ht="15.75" customHeight="1">
      <c r="A94" s="72">
        <v>45917</v>
      </c>
      <c r="B94" s="19" t="s">
        <v>206</v>
      </c>
      <c r="C94" s="24" t="s">
        <v>207</v>
      </c>
      <c r="D94" s="20">
        <v>1136</v>
      </c>
      <c r="E94" s="21">
        <v>1155</v>
      </c>
      <c r="F94" s="143">
        <f t="shared" si="6"/>
        <v>1.6450216450216451E-2</v>
      </c>
      <c r="G94" s="19"/>
    </row>
    <row r="95" spans="1:7" s="140" customFormat="1" ht="15.75" customHeight="1">
      <c r="A95" s="73">
        <v>45919</v>
      </c>
      <c r="B95" s="19" t="s">
        <v>208</v>
      </c>
      <c r="C95" s="24" t="s">
        <v>209</v>
      </c>
      <c r="D95" s="20">
        <v>4100</v>
      </c>
      <c r="E95" s="21">
        <v>3880</v>
      </c>
      <c r="F95" s="143">
        <f t="shared" si="6"/>
        <v>-5.6701030927835051E-2</v>
      </c>
      <c r="G95" s="19"/>
    </row>
    <row r="96" spans="1:7" s="140" customFormat="1" ht="15.75" customHeight="1">
      <c r="A96" s="72">
        <v>45919</v>
      </c>
      <c r="B96" s="19" t="s">
        <v>210</v>
      </c>
      <c r="C96" s="24" t="s">
        <v>211</v>
      </c>
      <c r="D96" s="20">
        <v>535</v>
      </c>
      <c r="E96" s="21">
        <v>617</v>
      </c>
      <c r="F96" s="143">
        <f t="shared" si="6"/>
        <v>0.13290113452188007</v>
      </c>
      <c r="G96" s="19"/>
    </row>
    <row r="97" spans="1:7" s="140" customFormat="1" ht="15.75" customHeight="1">
      <c r="A97" s="72">
        <v>45919</v>
      </c>
      <c r="B97" s="19" t="s">
        <v>212</v>
      </c>
      <c r="C97" s="24" t="s">
        <v>213</v>
      </c>
      <c r="D97" s="20">
        <v>296</v>
      </c>
      <c r="E97" s="21">
        <v>264</v>
      </c>
      <c r="F97" s="143">
        <f t="shared" si="6"/>
        <v>-0.12121212121212122</v>
      </c>
      <c r="G97" s="19"/>
    </row>
    <row r="98" spans="1:7" s="140" customFormat="1" ht="15.75" customHeight="1">
      <c r="A98" s="72">
        <v>45919</v>
      </c>
      <c r="B98" s="19" t="s">
        <v>7</v>
      </c>
      <c r="C98" s="24" t="s">
        <v>214</v>
      </c>
      <c r="D98" s="20">
        <v>413</v>
      </c>
      <c r="E98" s="21">
        <v>367</v>
      </c>
      <c r="F98" s="143">
        <f t="shared" si="6"/>
        <v>-0.12534059945504086</v>
      </c>
      <c r="G98" s="19"/>
    </row>
    <row r="99" spans="1:7" s="140" customFormat="1" ht="15.75" customHeight="1">
      <c r="A99" s="72">
        <v>45920</v>
      </c>
      <c r="B99" s="19" t="s">
        <v>215</v>
      </c>
      <c r="C99" s="24" t="s">
        <v>216</v>
      </c>
      <c r="D99" s="20">
        <v>137</v>
      </c>
      <c r="E99" s="21">
        <v>167</v>
      </c>
      <c r="F99" s="143">
        <f t="shared" si="6"/>
        <v>0.17964071856287425</v>
      </c>
      <c r="G99" s="19"/>
    </row>
    <row r="100" spans="1:7" s="140" customFormat="1" ht="15.75" customHeight="1">
      <c r="A100" s="72">
        <v>45920</v>
      </c>
      <c r="B100" s="19" t="s">
        <v>38</v>
      </c>
      <c r="C100" s="24" t="s">
        <v>217</v>
      </c>
      <c r="D100" s="20">
        <v>24980</v>
      </c>
      <c r="E100" s="21">
        <v>25795</v>
      </c>
      <c r="F100" s="143">
        <f t="shared" si="6"/>
        <v>3.1595270401240549E-2</v>
      </c>
      <c r="G100" s="19"/>
    </row>
    <row r="101" spans="1:7" s="140" customFormat="1" ht="15.75" customHeight="1">
      <c r="A101" s="72">
        <v>45920</v>
      </c>
      <c r="B101" s="19" t="s">
        <v>10</v>
      </c>
      <c r="C101" s="24" t="s">
        <v>218</v>
      </c>
      <c r="D101" s="20">
        <v>2524</v>
      </c>
      <c r="E101" s="21">
        <v>2504</v>
      </c>
      <c r="F101" s="143">
        <f t="shared" si="6"/>
        <v>-7.9872204472843447E-3</v>
      </c>
      <c r="G101" s="19"/>
    </row>
    <row r="102" spans="1:7" s="140" customFormat="1" ht="15.75" customHeight="1">
      <c r="A102" s="72">
        <v>45920</v>
      </c>
      <c r="B102" s="19" t="s">
        <v>19</v>
      </c>
      <c r="C102" s="87" t="s">
        <v>219</v>
      </c>
      <c r="D102" s="20">
        <v>1947</v>
      </c>
      <c r="E102" s="21">
        <v>4311</v>
      </c>
      <c r="F102" s="143">
        <f t="shared" si="6"/>
        <v>0.54836464857341682</v>
      </c>
      <c r="G102" s="19"/>
    </row>
    <row r="103" spans="1:7" s="140" customFormat="1" ht="15.75" customHeight="1">
      <c r="A103" s="72">
        <v>45920</v>
      </c>
      <c r="B103" s="19" t="s">
        <v>220</v>
      </c>
      <c r="C103" s="22" t="s">
        <v>221</v>
      </c>
      <c r="D103" s="20">
        <v>500</v>
      </c>
      <c r="E103" s="21">
        <v>432</v>
      </c>
      <c r="F103" s="143">
        <f t="shared" si="6"/>
        <v>-0.15740740740740741</v>
      </c>
      <c r="G103" s="19"/>
    </row>
    <row r="104" spans="1:7" s="140" customFormat="1" ht="15.75" customHeight="1">
      <c r="A104" s="72">
        <v>45922</v>
      </c>
      <c r="B104" s="19" t="s">
        <v>222</v>
      </c>
      <c r="C104" s="24" t="s">
        <v>223</v>
      </c>
      <c r="D104" s="20">
        <v>105</v>
      </c>
      <c r="E104" s="21">
        <v>115</v>
      </c>
      <c r="F104" s="143">
        <f t="shared" si="6"/>
        <v>8.6956521739130432E-2</v>
      </c>
      <c r="G104" s="19"/>
    </row>
    <row r="105" spans="1:7" s="140" customFormat="1" ht="15.75" customHeight="1">
      <c r="A105" s="72">
        <v>45922</v>
      </c>
      <c r="B105" s="19" t="s">
        <v>224</v>
      </c>
      <c r="C105" s="24" t="s">
        <v>225</v>
      </c>
      <c r="D105" s="20">
        <v>239</v>
      </c>
      <c r="E105" s="21">
        <v>226</v>
      </c>
      <c r="F105" s="143">
        <f t="shared" si="6"/>
        <v>-5.7522123893805309E-2</v>
      </c>
      <c r="G105" s="19"/>
    </row>
    <row r="106" spans="1:7" s="140" customFormat="1" ht="15.75" customHeight="1">
      <c r="A106" s="72">
        <v>45923</v>
      </c>
      <c r="B106" s="19" t="s">
        <v>197</v>
      </c>
      <c r="C106" s="24" t="s">
        <v>226</v>
      </c>
      <c r="D106" s="20">
        <v>1173</v>
      </c>
      <c r="E106" s="21">
        <v>1773</v>
      </c>
      <c r="F106" s="143">
        <f t="shared" si="6"/>
        <v>0.33840947546531303</v>
      </c>
      <c r="G106" s="19"/>
    </row>
    <row r="107" spans="1:7" s="140" customFormat="1" ht="15.75" customHeight="1">
      <c r="A107" s="72">
        <v>45923</v>
      </c>
      <c r="B107" s="19" t="s">
        <v>227</v>
      </c>
      <c r="C107" s="24" t="s">
        <v>228</v>
      </c>
      <c r="D107" s="20">
        <v>109</v>
      </c>
      <c r="E107" s="21">
        <v>117</v>
      </c>
      <c r="F107" s="143">
        <f t="shared" si="6"/>
        <v>6.8376068376068383E-2</v>
      </c>
      <c r="G107" s="19"/>
    </row>
    <row r="108" spans="1:7" s="140" customFormat="1" ht="15.75" customHeight="1">
      <c r="A108" s="72">
        <v>45923</v>
      </c>
      <c r="B108" s="19" t="s">
        <v>229</v>
      </c>
      <c r="C108" s="24" t="s">
        <v>230</v>
      </c>
      <c r="D108" s="20">
        <v>152850</v>
      </c>
      <c r="E108" s="21">
        <v>160190</v>
      </c>
      <c r="F108" s="143">
        <f t="shared" si="6"/>
        <v>4.5820588051688621E-2</v>
      </c>
      <c r="G108" s="19"/>
    </row>
    <row r="109" spans="1:7" s="140" customFormat="1" ht="15.75" customHeight="1">
      <c r="A109" s="72">
        <v>45923</v>
      </c>
      <c r="B109" s="19" t="s">
        <v>231</v>
      </c>
      <c r="C109" s="88" t="s">
        <v>232</v>
      </c>
      <c r="D109" s="20">
        <v>486</v>
      </c>
      <c r="E109" s="21">
        <v>499</v>
      </c>
      <c r="F109" s="143">
        <f t="shared" si="6"/>
        <v>2.6052104208416832E-2</v>
      </c>
      <c r="G109" s="19"/>
    </row>
    <row r="110" spans="1:7" s="140" customFormat="1" ht="15.75" customHeight="1">
      <c r="A110" s="72">
        <v>45923</v>
      </c>
      <c r="B110" s="19" t="s">
        <v>233</v>
      </c>
      <c r="C110" s="24" t="s">
        <v>234</v>
      </c>
      <c r="D110" s="20">
        <v>451</v>
      </c>
      <c r="E110" s="21">
        <v>415</v>
      </c>
      <c r="F110" s="143">
        <f t="shared" si="6"/>
        <v>-8.6746987951807228E-2</v>
      </c>
      <c r="G110" s="19"/>
    </row>
    <row r="111" spans="1:7" s="140" customFormat="1" ht="15.75" customHeight="1">
      <c r="A111" s="89">
        <v>45927</v>
      </c>
      <c r="B111" s="90" t="s">
        <v>235</v>
      </c>
      <c r="C111" s="91" t="s">
        <v>236</v>
      </c>
      <c r="D111" s="92">
        <v>55121</v>
      </c>
      <c r="E111" s="21">
        <v>58599</v>
      </c>
      <c r="F111" s="143">
        <f t="shared" si="6"/>
        <v>5.9352548678305091E-2</v>
      </c>
      <c r="G111" s="19"/>
    </row>
    <row r="112" spans="1:7" s="140" customFormat="1" ht="15.75" customHeight="1">
      <c r="A112" s="19"/>
      <c r="B112" s="19" t="s">
        <v>237</v>
      </c>
      <c r="C112" s="24" t="s">
        <v>238</v>
      </c>
      <c r="D112" s="20">
        <v>980</v>
      </c>
      <c r="E112" s="21">
        <v>827</v>
      </c>
      <c r="F112" s="143">
        <f t="shared" si="6"/>
        <v>-0.18500604594921402</v>
      </c>
      <c r="G112" s="19"/>
    </row>
    <row r="113" spans="1:7" s="140" customFormat="1" ht="15.75" customHeight="1">
      <c r="A113" s="19"/>
      <c r="B113" s="19" t="s">
        <v>239</v>
      </c>
      <c r="C113" s="24" t="s">
        <v>240</v>
      </c>
      <c r="D113" s="20">
        <v>1258</v>
      </c>
      <c r="E113" s="21">
        <v>1546</v>
      </c>
      <c r="F113" s="143">
        <f t="shared" si="6"/>
        <v>0.18628719275549807</v>
      </c>
      <c r="G113" s="19"/>
    </row>
    <row r="114" spans="1:7" s="140" customFormat="1" ht="15.75" customHeight="1">
      <c r="A114" s="93">
        <v>45923</v>
      </c>
      <c r="B114" s="19" t="s">
        <v>241</v>
      </c>
      <c r="C114" s="22" t="s">
        <v>242</v>
      </c>
      <c r="D114" s="20">
        <v>8138</v>
      </c>
      <c r="E114" s="21">
        <v>10500</v>
      </c>
      <c r="F114" s="143">
        <f t="shared" si="6"/>
        <v>0.22495238095238096</v>
      </c>
      <c r="G114" s="19"/>
    </row>
    <row r="115" spans="1:7" s="140" customFormat="1" ht="15.75" customHeight="1">
      <c r="A115" s="72">
        <v>45924</v>
      </c>
      <c r="B115" s="19" t="s">
        <v>113</v>
      </c>
      <c r="C115" s="24" t="s">
        <v>243</v>
      </c>
      <c r="D115" s="20">
        <v>232</v>
      </c>
      <c r="E115" s="21">
        <v>274</v>
      </c>
      <c r="F115" s="143">
        <f t="shared" si="6"/>
        <v>0.15328467153284672</v>
      </c>
      <c r="G115" s="19"/>
    </row>
    <row r="116" spans="1:7" s="140" customFormat="1" ht="15.75" customHeight="1">
      <c r="A116" s="93">
        <v>45924</v>
      </c>
      <c r="B116" s="19" t="s">
        <v>244</v>
      </c>
      <c r="C116" s="22" t="s">
        <v>245</v>
      </c>
      <c r="D116" s="20">
        <v>511</v>
      </c>
      <c r="E116" s="21">
        <v>641</v>
      </c>
      <c r="F116" s="143">
        <f t="shared" si="6"/>
        <v>0.20280811232449297</v>
      </c>
      <c r="G116" s="19"/>
    </row>
    <row r="117" spans="1:7" s="140" customFormat="1" ht="15.75" customHeight="1">
      <c r="A117" s="94">
        <v>45928</v>
      </c>
      <c r="B117" s="95" t="s">
        <v>246</v>
      </c>
      <c r="C117" s="96" t="s">
        <v>247</v>
      </c>
      <c r="D117" s="97">
        <v>627</v>
      </c>
      <c r="E117" s="98">
        <v>1246</v>
      </c>
      <c r="F117" s="149">
        <f t="shared" si="6"/>
        <v>0.4967897271268058</v>
      </c>
      <c r="G117" s="19"/>
    </row>
    <row r="118" spans="1:7" s="140" customFormat="1" ht="15.75" customHeight="1">
      <c r="A118" s="72"/>
      <c r="B118" s="19"/>
      <c r="C118" s="150">
        <v>45931</v>
      </c>
      <c r="D118" s="20"/>
      <c r="E118" s="21"/>
      <c r="F118" s="148"/>
      <c r="G118" s="19"/>
    </row>
    <row r="119" spans="1:7" s="140" customFormat="1" ht="15.75" customHeight="1">
      <c r="A119" s="72">
        <v>45932</v>
      </c>
      <c r="B119" s="19" t="s">
        <v>248</v>
      </c>
      <c r="C119" s="24" t="s">
        <v>249</v>
      </c>
      <c r="D119" s="20">
        <v>528</v>
      </c>
      <c r="E119" s="21">
        <v>627</v>
      </c>
      <c r="F119" s="143">
        <f t="shared" ref="F119:F188" si="7">(E119-D119)/E119</f>
        <v>0.15789473684210525</v>
      </c>
      <c r="G119" s="19"/>
    </row>
    <row r="120" spans="1:7" s="140" customFormat="1" ht="15.75" customHeight="1">
      <c r="A120" s="72">
        <v>45932</v>
      </c>
      <c r="B120" s="19" t="s">
        <v>250</v>
      </c>
      <c r="C120" s="24" t="s">
        <v>251</v>
      </c>
      <c r="D120" s="20">
        <v>2063</v>
      </c>
      <c r="E120" s="21">
        <v>2187</v>
      </c>
      <c r="F120" s="143">
        <f t="shared" si="7"/>
        <v>5.6698673982624598E-2</v>
      </c>
      <c r="G120" s="19"/>
    </row>
    <row r="121" spans="1:7" s="140" customFormat="1" ht="15.75" customHeight="1">
      <c r="A121" s="99">
        <v>46297</v>
      </c>
      <c r="B121" s="31" t="s">
        <v>252</v>
      </c>
      <c r="C121" s="32" t="s">
        <v>253</v>
      </c>
      <c r="D121" s="33">
        <v>194</v>
      </c>
      <c r="E121" s="34">
        <v>260</v>
      </c>
      <c r="F121" s="143">
        <f t="shared" si="7"/>
        <v>0.25384615384615383</v>
      </c>
      <c r="G121" s="19"/>
    </row>
    <row r="122" spans="1:7" s="140" customFormat="1" ht="15.75" customHeight="1">
      <c r="A122" s="72">
        <v>45935</v>
      </c>
      <c r="B122" s="19" t="s">
        <v>254</v>
      </c>
      <c r="C122" s="24" t="s">
        <v>255</v>
      </c>
      <c r="D122" s="20">
        <v>286</v>
      </c>
      <c r="E122" s="21">
        <v>265</v>
      </c>
      <c r="F122" s="143">
        <f t="shared" si="7"/>
        <v>-7.9245283018867921E-2</v>
      </c>
      <c r="G122" s="19"/>
    </row>
    <row r="123" spans="1:7" s="140" customFormat="1" ht="15.75" customHeight="1">
      <c r="A123" s="72">
        <v>45935</v>
      </c>
      <c r="B123" s="19" t="s">
        <v>80</v>
      </c>
      <c r="C123" s="24" t="s">
        <v>256</v>
      </c>
      <c r="D123" s="20">
        <v>881</v>
      </c>
      <c r="E123" s="21">
        <v>782</v>
      </c>
      <c r="F123" s="143">
        <f t="shared" si="7"/>
        <v>-0.12659846547314579</v>
      </c>
      <c r="G123" s="19"/>
    </row>
    <row r="124" spans="1:7" s="140" customFormat="1" ht="15.75" customHeight="1">
      <c r="A124" s="72">
        <v>45935</v>
      </c>
      <c r="B124" s="19" t="s">
        <v>257</v>
      </c>
      <c r="C124" s="24" t="s">
        <v>258</v>
      </c>
      <c r="D124" s="20">
        <v>1168</v>
      </c>
      <c r="E124" s="21">
        <v>1237</v>
      </c>
      <c r="F124" s="143">
        <f t="shared" si="7"/>
        <v>5.5780113177041228E-2</v>
      </c>
      <c r="G124" s="19"/>
    </row>
    <row r="125" spans="1:7" s="140" customFormat="1" ht="15.75" customHeight="1">
      <c r="A125" s="100">
        <v>45936</v>
      </c>
      <c r="B125" s="53" t="s">
        <v>259</v>
      </c>
      <c r="C125" s="101" t="s">
        <v>260</v>
      </c>
      <c r="D125" s="55">
        <v>641</v>
      </c>
      <c r="E125" s="56">
        <v>907</v>
      </c>
      <c r="F125" s="143">
        <f t="shared" si="7"/>
        <v>0.29327453142227122</v>
      </c>
      <c r="G125" s="19"/>
    </row>
    <row r="126" spans="1:7" s="140" customFormat="1" ht="15.75" customHeight="1">
      <c r="A126" s="73">
        <v>45936</v>
      </c>
      <c r="B126" s="19" t="s">
        <v>261</v>
      </c>
      <c r="C126" s="24" t="s">
        <v>262</v>
      </c>
      <c r="D126" s="20">
        <v>933</v>
      </c>
      <c r="E126" s="21">
        <v>1017</v>
      </c>
      <c r="F126" s="143">
        <f t="shared" si="7"/>
        <v>8.2595870206489674E-2</v>
      </c>
      <c r="G126" s="19"/>
    </row>
    <row r="127" spans="1:7" s="140" customFormat="1" ht="15.75" customHeight="1">
      <c r="A127" s="73">
        <v>45936</v>
      </c>
      <c r="B127" s="19" t="s">
        <v>263</v>
      </c>
      <c r="C127" s="87" t="s">
        <v>264</v>
      </c>
      <c r="D127" s="20">
        <v>12840</v>
      </c>
      <c r="E127" s="21">
        <v>16108</v>
      </c>
      <c r="F127" s="143">
        <f t="shared" si="7"/>
        <v>0.20288055624534393</v>
      </c>
      <c r="G127" s="19"/>
    </row>
    <row r="128" spans="1:7" s="140" customFormat="1" ht="15.75" customHeight="1">
      <c r="A128" s="73">
        <v>45936</v>
      </c>
      <c r="B128" s="19" t="s">
        <v>265</v>
      </c>
      <c r="C128" s="87" t="s">
        <v>266</v>
      </c>
      <c r="D128" s="20">
        <v>876</v>
      </c>
      <c r="E128" s="21">
        <v>1252</v>
      </c>
      <c r="F128" s="143">
        <f t="shared" si="7"/>
        <v>0.30031948881789139</v>
      </c>
      <c r="G128" s="19"/>
    </row>
    <row r="129" spans="1:7" s="140" customFormat="1" ht="15.75" customHeight="1">
      <c r="A129" s="73">
        <v>45936</v>
      </c>
      <c r="B129" s="19" t="s">
        <v>267</v>
      </c>
      <c r="C129" s="24" t="s">
        <v>268</v>
      </c>
      <c r="D129" s="20">
        <v>220</v>
      </c>
      <c r="E129" s="21">
        <v>229</v>
      </c>
      <c r="F129" s="143">
        <f t="shared" si="7"/>
        <v>3.9301310043668124E-2</v>
      </c>
      <c r="G129" s="19"/>
    </row>
    <row r="130" spans="1:7" s="140" customFormat="1" ht="15.75" customHeight="1">
      <c r="A130" s="73">
        <v>45936</v>
      </c>
      <c r="B130" s="19" t="s">
        <v>269</v>
      </c>
      <c r="C130" s="24" t="s">
        <v>154</v>
      </c>
      <c r="D130" s="20">
        <v>229</v>
      </c>
      <c r="E130" s="21">
        <v>341</v>
      </c>
      <c r="F130" s="143">
        <f t="shared" si="7"/>
        <v>0.3284457478005865</v>
      </c>
      <c r="G130" s="19"/>
    </row>
    <row r="131" spans="1:7" s="140" customFormat="1" ht="15.75" customHeight="1">
      <c r="A131" s="73">
        <v>45936</v>
      </c>
      <c r="B131" s="19" t="s">
        <v>270</v>
      </c>
      <c r="C131" s="24" t="s">
        <v>271</v>
      </c>
      <c r="D131" s="20">
        <v>5228</v>
      </c>
      <c r="E131" s="21">
        <v>5402</v>
      </c>
      <c r="F131" s="143">
        <f t="shared" si="7"/>
        <v>3.2210292484265088E-2</v>
      </c>
      <c r="G131" s="19"/>
    </row>
    <row r="132" spans="1:7" s="140" customFormat="1" ht="15.75" customHeight="1">
      <c r="A132" s="73">
        <v>45936</v>
      </c>
      <c r="B132" s="19" t="s">
        <v>272</v>
      </c>
      <c r="C132" s="24" t="s">
        <v>273</v>
      </c>
      <c r="D132" s="20">
        <v>1813</v>
      </c>
      <c r="E132" s="21">
        <v>2042</v>
      </c>
      <c r="F132" s="143">
        <f t="shared" si="7"/>
        <v>0.11214495592556317</v>
      </c>
      <c r="G132" s="19"/>
    </row>
    <row r="133" spans="1:7" s="140" customFormat="1" ht="15.75" customHeight="1">
      <c r="A133" s="73">
        <v>45937</v>
      </c>
      <c r="B133" s="19" t="s">
        <v>274</v>
      </c>
      <c r="C133" s="24" t="s">
        <v>275</v>
      </c>
      <c r="D133" s="20">
        <v>198</v>
      </c>
      <c r="E133" s="21">
        <v>278</v>
      </c>
      <c r="F133" s="143">
        <f t="shared" si="7"/>
        <v>0.28776978417266186</v>
      </c>
      <c r="G133" s="19"/>
    </row>
    <row r="134" spans="1:7" s="140" customFormat="1" ht="15.75" customHeight="1">
      <c r="A134" s="73">
        <v>45937</v>
      </c>
      <c r="B134" s="19" t="s">
        <v>276</v>
      </c>
      <c r="C134" s="24" t="s">
        <v>277</v>
      </c>
      <c r="D134" s="20">
        <v>3097</v>
      </c>
      <c r="E134" s="21">
        <v>2810</v>
      </c>
      <c r="F134" s="143">
        <f t="shared" si="7"/>
        <v>-0.10213523131672597</v>
      </c>
      <c r="G134" s="19"/>
    </row>
    <row r="135" spans="1:7" s="140" customFormat="1" ht="15.75" customHeight="1">
      <c r="A135" s="102">
        <v>45937</v>
      </c>
      <c r="B135" s="62" t="s">
        <v>278</v>
      </c>
      <c r="C135" s="103" t="s">
        <v>279</v>
      </c>
      <c r="D135" s="64">
        <v>328</v>
      </c>
      <c r="E135" s="65">
        <v>318</v>
      </c>
      <c r="F135" s="151">
        <f t="shared" si="7"/>
        <v>-3.1446540880503145E-2</v>
      </c>
      <c r="G135" s="19"/>
    </row>
    <row r="136" spans="1:7" s="140" customFormat="1" ht="15.75" customHeight="1">
      <c r="A136" s="73">
        <v>45937</v>
      </c>
      <c r="B136" s="19" t="s">
        <v>280</v>
      </c>
      <c r="C136" s="24" t="s">
        <v>281</v>
      </c>
      <c r="D136" s="20">
        <v>280</v>
      </c>
      <c r="E136" s="21">
        <v>264</v>
      </c>
      <c r="F136" s="143">
        <f t="shared" si="7"/>
        <v>-6.0606060606060608E-2</v>
      </c>
      <c r="G136" s="19"/>
    </row>
    <row r="137" spans="1:7" s="140" customFormat="1" ht="15.75" customHeight="1">
      <c r="A137" s="73">
        <v>45937</v>
      </c>
      <c r="B137" s="19" t="s">
        <v>282</v>
      </c>
      <c r="C137" s="24" t="s">
        <v>283</v>
      </c>
      <c r="D137" s="20">
        <v>2710</v>
      </c>
      <c r="E137" s="21">
        <v>2611</v>
      </c>
      <c r="F137" s="143">
        <f t="shared" si="7"/>
        <v>-3.7916507085407891E-2</v>
      </c>
      <c r="G137" s="19"/>
    </row>
    <row r="138" spans="1:7" s="140" customFormat="1" ht="15.75" customHeight="1">
      <c r="A138" s="72">
        <v>45937</v>
      </c>
      <c r="B138" s="19" t="s">
        <v>85</v>
      </c>
      <c r="C138" s="24" t="s">
        <v>284</v>
      </c>
      <c r="D138" s="20">
        <v>195</v>
      </c>
      <c r="E138" s="21">
        <v>171</v>
      </c>
      <c r="F138" s="143">
        <f t="shared" si="7"/>
        <v>-0.14035087719298245</v>
      </c>
      <c r="G138" s="19"/>
    </row>
    <row r="139" spans="1:7" s="140" customFormat="1" ht="15.75" customHeight="1">
      <c r="A139" s="73">
        <v>45937</v>
      </c>
      <c r="B139" s="19" t="s">
        <v>285</v>
      </c>
      <c r="C139" s="24" t="s">
        <v>286</v>
      </c>
      <c r="D139" s="20">
        <v>9.18</v>
      </c>
      <c r="E139" s="21">
        <v>9.6199999999999992</v>
      </c>
      <c r="F139" s="143">
        <f t="shared" si="7"/>
        <v>4.5738045738045692E-2</v>
      </c>
      <c r="G139" s="19"/>
    </row>
    <row r="140" spans="1:7" s="140" customFormat="1" ht="15.75" customHeight="1">
      <c r="A140" s="72">
        <v>45938</v>
      </c>
      <c r="B140" s="19" t="s">
        <v>287</v>
      </c>
      <c r="C140" s="24" t="s">
        <v>288</v>
      </c>
      <c r="D140" s="20">
        <v>487</v>
      </c>
      <c r="E140" s="21">
        <v>449</v>
      </c>
      <c r="F140" s="143">
        <f t="shared" si="7"/>
        <v>-8.4632516703786187E-2</v>
      </c>
      <c r="G140" s="19"/>
    </row>
    <row r="141" spans="1:7" s="140" customFormat="1" ht="15.75" customHeight="1">
      <c r="A141" s="72">
        <v>45938</v>
      </c>
      <c r="B141" s="19" t="s">
        <v>289</v>
      </c>
      <c r="C141" s="24" t="s">
        <v>290</v>
      </c>
      <c r="D141" s="20">
        <v>2301</v>
      </c>
      <c r="E141" s="21">
        <v>1848</v>
      </c>
      <c r="F141" s="143">
        <f t="shared" si="7"/>
        <v>-0.24512987012987014</v>
      </c>
      <c r="G141" s="19"/>
    </row>
    <row r="142" spans="1:7" s="140" customFormat="1" ht="15.75" customHeight="1">
      <c r="A142" s="72">
        <v>45938</v>
      </c>
      <c r="B142" s="19" t="s">
        <v>291</v>
      </c>
      <c r="C142" s="24" t="s">
        <v>292</v>
      </c>
      <c r="D142" s="20">
        <v>1085</v>
      </c>
      <c r="E142" s="21">
        <v>1110</v>
      </c>
      <c r="F142" s="143">
        <f t="shared" si="7"/>
        <v>2.2522522522522521E-2</v>
      </c>
      <c r="G142" s="19"/>
    </row>
    <row r="143" spans="1:7" s="140" customFormat="1" ht="15.75" customHeight="1">
      <c r="A143" s="100">
        <v>45939</v>
      </c>
      <c r="B143" s="53" t="s">
        <v>293</v>
      </c>
      <c r="C143" s="101" t="s">
        <v>294</v>
      </c>
      <c r="D143" s="55">
        <v>291</v>
      </c>
      <c r="E143" s="56">
        <v>305</v>
      </c>
      <c r="F143" s="145">
        <f t="shared" si="7"/>
        <v>4.5901639344262293E-2</v>
      </c>
      <c r="G143" s="19"/>
    </row>
    <row r="144" spans="1:7" s="140" customFormat="1" ht="15.75" customHeight="1">
      <c r="A144" s="72">
        <v>45939</v>
      </c>
      <c r="B144" s="19" t="s">
        <v>295</v>
      </c>
      <c r="C144" s="24" t="s">
        <v>296</v>
      </c>
      <c r="D144" s="20">
        <v>1168</v>
      </c>
      <c r="E144" s="21">
        <v>1168</v>
      </c>
      <c r="F144" s="143">
        <f t="shared" si="7"/>
        <v>0</v>
      </c>
      <c r="G144" s="19"/>
    </row>
    <row r="145" spans="1:7" s="140" customFormat="1" ht="15.75" customHeight="1">
      <c r="A145" s="72">
        <v>45939</v>
      </c>
      <c r="B145" s="19" t="s">
        <v>297</v>
      </c>
      <c r="C145" s="24" t="s">
        <v>298</v>
      </c>
      <c r="D145" s="20">
        <v>345</v>
      </c>
      <c r="E145" s="21">
        <v>473</v>
      </c>
      <c r="F145" s="143">
        <f t="shared" si="7"/>
        <v>0.27061310782241016</v>
      </c>
      <c r="G145" s="19"/>
    </row>
    <row r="146" spans="1:7" s="140" customFormat="1" ht="15.75" customHeight="1">
      <c r="A146" s="72">
        <v>45939</v>
      </c>
      <c r="B146" s="19" t="s">
        <v>299</v>
      </c>
      <c r="C146" s="24" t="s">
        <v>300</v>
      </c>
      <c r="D146" s="20">
        <v>593</v>
      </c>
      <c r="E146" s="21">
        <v>565</v>
      </c>
      <c r="F146" s="143">
        <f t="shared" si="7"/>
        <v>-4.9557522123893805E-2</v>
      </c>
      <c r="G146" s="19"/>
    </row>
    <row r="147" spans="1:7" s="140" customFormat="1" ht="15.75" customHeight="1">
      <c r="A147" s="72">
        <v>45939</v>
      </c>
      <c r="B147" s="19" t="s">
        <v>301</v>
      </c>
      <c r="C147" s="24" t="s">
        <v>302</v>
      </c>
      <c r="D147" s="20">
        <v>1757</v>
      </c>
      <c r="E147" s="21">
        <v>2611</v>
      </c>
      <c r="F147" s="143">
        <f t="shared" si="7"/>
        <v>0.32707774798927614</v>
      </c>
      <c r="G147" s="19"/>
    </row>
    <row r="148" spans="1:7" s="140" customFormat="1" ht="15.75" customHeight="1">
      <c r="A148" s="72">
        <v>45939</v>
      </c>
      <c r="B148" s="19" t="s">
        <v>303</v>
      </c>
      <c r="C148" s="24" t="s">
        <v>304</v>
      </c>
      <c r="D148" s="20">
        <v>207</v>
      </c>
      <c r="E148" s="21">
        <v>326</v>
      </c>
      <c r="F148" s="143">
        <f t="shared" si="7"/>
        <v>0.36503067484662577</v>
      </c>
      <c r="G148" s="19"/>
    </row>
    <row r="149" spans="1:7" s="140" customFormat="1" ht="15.75" customHeight="1">
      <c r="A149" s="72">
        <v>45939</v>
      </c>
      <c r="B149" s="19" t="s">
        <v>305</v>
      </c>
      <c r="C149" s="24" t="s">
        <v>306</v>
      </c>
      <c r="D149" s="20">
        <v>763</v>
      </c>
      <c r="E149" s="21">
        <v>1020</v>
      </c>
      <c r="F149" s="143">
        <f t="shared" si="7"/>
        <v>0.25196078431372548</v>
      </c>
      <c r="G149" s="19"/>
    </row>
    <row r="150" spans="1:7" s="140" customFormat="1" ht="15.75" customHeight="1">
      <c r="A150" s="72">
        <v>45939</v>
      </c>
      <c r="B150" s="19" t="s">
        <v>99</v>
      </c>
      <c r="C150" s="24" t="s">
        <v>100</v>
      </c>
      <c r="D150" s="20">
        <v>68</v>
      </c>
      <c r="E150" s="21">
        <v>79</v>
      </c>
      <c r="F150" s="143">
        <f t="shared" si="7"/>
        <v>0.13924050632911392</v>
      </c>
      <c r="G150" s="19"/>
    </row>
    <row r="151" spans="1:7" s="140" customFormat="1" ht="15.75" customHeight="1">
      <c r="A151" s="72">
        <v>45939</v>
      </c>
      <c r="B151" s="19" t="s">
        <v>190</v>
      </c>
      <c r="C151" s="24" t="s">
        <v>307</v>
      </c>
      <c r="D151" s="20">
        <v>456</v>
      </c>
      <c r="E151" s="21">
        <v>556</v>
      </c>
      <c r="F151" s="143">
        <f t="shared" si="7"/>
        <v>0.17985611510791366</v>
      </c>
      <c r="G151" s="19"/>
    </row>
    <row r="152" spans="1:7" s="140" customFormat="1" ht="15.75" customHeight="1">
      <c r="A152" s="72">
        <v>45939</v>
      </c>
      <c r="B152" s="19" t="s">
        <v>308</v>
      </c>
      <c r="C152" s="24" t="s">
        <v>309</v>
      </c>
      <c r="D152" s="20">
        <v>33539</v>
      </c>
      <c r="E152" s="21">
        <v>38752</v>
      </c>
      <c r="F152" s="143">
        <f t="shared" si="7"/>
        <v>0.13452208918249381</v>
      </c>
      <c r="G152" s="19"/>
    </row>
    <row r="153" spans="1:7" s="140" customFormat="1" ht="15.75" customHeight="1">
      <c r="A153" s="72">
        <v>45939</v>
      </c>
      <c r="B153" s="19" t="s">
        <v>310</v>
      </c>
      <c r="C153" s="24" t="s">
        <v>311</v>
      </c>
      <c r="D153" s="20">
        <v>397</v>
      </c>
      <c r="E153" s="21">
        <v>387</v>
      </c>
      <c r="F153" s="143">
        <f t="shared" si="7"/>
        <v>-2.5839793281653745E-2</v>
      </c>
      <c r="G153" s="19"/>
    </row>
    <row r="154" spans="1:7" s="140" customFormat="1" ht="15.75" customHeight="1">
      <c r="A154" s="73">
        <v>45944</v>
      </c>
      <c r="B154" s="19" t="s">
        <v>312</v>
      </c>
      <c r="C154" s="24" t="s">
        <v>313</v>
      </c>
      <c r="D154" s="20">
        <v>3188</v>
      </c>
      <c r="E154" s="21">
        <v>3146</v>
      </c>
      <c r="F154" s="143">
        <f t="shared" si="7"/>
        <v>-1.3350286077558804E-2</v>
      </c>
      <c r="G154" s="19"/>
    </row>
    <row r="155" spans="1:7" s="140" customFormat="1" ht="15.75" customHeight="1">
      <c r="A155" s="72">
        <v>45944</v>
      </c>
      <c r="B155" s="19" t="s">
        <v>314</v>
      </c>
      <c r="C155" s="24" t="s">
        <v>315</v>
      </c>
      <c r="D155" s="20">
        <v>1143</v>
      </c>
      <c r="E155" s="21">
        <v>1149</v>
      </c>
      <c r="F155" s="143">
        <f t="shared" si="7"/>
        <v>5.2219321148825066E-3</v>
      </c>
      <c r="G155" s="19"/>
    </row>
    <row r="156" spans="1:7" s="140" customFormat="1" ht="15.75" customHeight="1">
      <c r="A156" s="72">
        <v>45944</v>
      </c>
      <c r="B156" s="19" t="s">
        <v>316</v>
      </c>
      <c r="C156" s="24" t="s">
        <v>317</v>
      </c>
      <c r="D156" s="20">
        <v>527</v>
      </c>
      <c r="E156" s="21">
        <v>540</v>
      </c>
      <c r="F156" s="143">
        <f t="shared" si="7"/>
        <v>2.4074074074074074E-2</v>
      </c>
      <c r="G156" s="19"/>
    </row>
    <row r="157" spans="1:7" s="140" customFormat="1" ht="15.75" customHeight="1">
      <c r="A157" s="72">
        <v>45944</v>
      </c>
      <c r="B157" s="19" t="s">
        <v>318</v>
      </c>
      <c r="C157" s="24" t="s">
        <v>319</v>
      </c>
      <c r="D157" s="20">
        <v>475</v>
      </c>
      <c r="E157" s="21">
        <v>464</v>
      </c>
      <c r="F157" s="143">
        <f t="shared" si="7"/>
        <v>-2.3706896551724137E-2</v>
      </c>
      <c r="G157" s="19"/>
    </row>
    <row r="158" spans="1:7" s="140" customFormat="1" ht="15.75" customHeight="1">
      <c r="A158" s="72">
        <v>45944</v>
      </c>
      <c r="B158" s="19" t="s">
        <v>320</v>
      </c>
      <c r="C158" s="24" t="s">
        <v>321</v>
      </c>
      <c r="D158" s="20">
        <v>941</v>
      </c>
      <c r="E158" s="21">
        <v>1264</v>
      </c>
      <c r="F158" s="143">
        <f t="shared" si="7"/>
        <v>0.25553797468354428</v>
      </c>
      <c r="G158" s="19"/>
    </row>
    <row r="159" spans="1:7" s="140" customFormat="1" ht="15.75" customHeight="1">
      <c r="A159" s="72">
        <v>45944</v>
      </c>
      <c r="B159" s="19" t="s">
        <v>322</v>
      </c>
      <c r="C159" s="24" t="s">
        <v>323</v>
      </c>
      <c r="D159" s="20">
        <v>1788</v>
      </c>
      <c r="E159" s="21">
        <v>1821</v>
      </c>
      <c r="F159" s="143">
        <f t="shared" si="7"/>
        <v>1.8121911037891267E-2</v>
      </c>
      <c r="G159" s="19"/>
    </row>
    <row r="160" spans="1:7" s="140" customFormat="1" ht="15.75" customHeight="1">
      <c r="A160" s="72">
        <v>45944</v>
      </c>
      <c r="B160" s="19" t="s">
        <v>324</v>
      </c>
      <c r="C160" s="24" t="s">
        <v>325</v>
      </c>
      <c r="D160" s="20">
        <v>875</v>
      </c>
      <c r="E160" s="21">
        <v>824</v>
      </c>
      <c r="F160" s="143">
        <f t="shared" si="7"/>
        <v>-6.1893203883495146E-2</v>
      </c>
      <c r="G160" s="19"/>
    </row>
    <row r="161" spans="1:7" s="140" customFormat="1" ht="15.75" customHeight="1">
      <c r="A161" s="72">
        <v>45944</v>
      </c>
      <c r="B161" s="19" t="s">
        <v>326</v>
      </c>
      <c r="C161" s="24" t="s">
        <v>327</v>
      </c>
      <c r="D161" s="20">
        <v>875</v>
      </c>
      <c r="E161" s="21">
        <v>870</v>
      </c>
      <c r="F161" s="143">
        <f t="shared" si="7"/>
        <v>-5.7471264367816091E-3</v>
      </c>
      <c r="G161" s="19"/>
    </row>
    <row r="162" spans="1:7" s="140" customFormat="1" ht="15.75" customHeight="1">
      <c r="A162" s="72">
        <v>45944</v>
      </c>
      <c r="B162" s="19" t="s">
        <v>328</v>
      </c>
      <c r="C162" s="24" t="s">
        <v>329</v>
      </c>
      <c r="D162" s="20">
        <v>1014</v>
      </c>
      <c r="E162" s="21">
        <v>900</v>
      </c>
      <c r="F162" s="143">
        <f t="shared" si="7"/>
        <v>-0.12666666666666668</v>
      </c>
      <c r="G162" s="19"/>
    </row>
    <row r="163" spans="1:7" s="140" customFormat="1" ht="15.75" customHeight="1">
      <c r="A163" s="72">
        <v>45944</v>
      </c>
      <c r="B163" s="19" t="s">
        <v>330</v>
      </c>
      <c r="C163" s="24" t="s">
        <v>331</v>
      </c>
      <c r="D163" s="20">
        <v>3350</v>
      </c>
      <c r="E163" s="21">
        <v>3352</v>
      </c>
      <c r="F163" s="143">
        <f t="shared" si="7"/>
        <v>5.966587112171838E-4</v>
      </c>
      <c r="G163" s="19"/>
    </row>
    <row r="164" spans="1:7" s="140" customFormat="1" ht="15.75" customHeight="1">
      <c r="A164" s="72">
        <v>45944</v>
      </c>
      <c r="B164" s="19" t="s">
        <v>332</v>
      </c>
      <c r="C164" s="24" t="s">
        <v>333</v>
      </c>
      <c r="D164" s="20">
        <v>1437</v>
      </c>
      <c r="E164" s="21">
        <v>1494</v>
      </c>
      <c r="F164" s="143">
        <f t="shared" si="7"/>
        <v>3.8152610441767071E-2</v>
      </c>
      <c r="G164" s="19"/>
    </row>
    <row r="165" spans="1:7" s="140" customFormat="1" ht="15.75" customHeight="1">
      <c r="A165" s="72">
        <v>45944</v>
      </c>
      <c r="B165" s="19" t="s">
        <v>334</v>
      </c>
      <c r="C165" s="24" t="s">
        <v>335</v>
      </c>
      <c r="D165" s="20">
        <v>151</v>
      </c>
      <c r="E165" s="21">
        <v>169</v>
      </c>
      <c r="F165" s="143">
        <f t="shared" si="7"/>
        <v>0.10650887573964497</v>
      </c>
      <c r="G165" s="19"/>
    </row>
    <row r="166" spans="1:7" s="140" customFormat="1" ht="15.75" customHeight="1">
      <c r="A166" s="72">
        <v>45944</v>
      </c>
      <c r="B166" s="19" t="s">
        <v>336</v>
      </c>
      <c r="C166" s="24" t="s">
        <v>337</v>
      </c>
      <c r="D166" s="20">
        <v>5669</v>
      </c>
      <c r="E166" s="21">
        <v>5543</v>
      </c>
      <c r="F166" s="143">
        <f t="shared" si="7"/>
        <v>-2.2731372902760238E-2</v>
      </c>
      <c r="G166" s="19"/>
    </row>
    <row r="167" spans="1:7" s="140" customFormat="1" ht="15.75" customHeight="1">
      <c r="A167" s="72">
        <v>45943</v>
      </c>
      <c r="B167" s="19" t="s">
        <v>338</v>
      </c>
      <c r="C167" s="24" t="s">
        <v>339</v>
      </c>
      <c r="D167" s="20">
        <v>609</v>
      </c>
      <c r="E167" s="21">
        <v>722</v>
      </c>
      <c r="F167" s="143">
        <f t="shared" si="7"/>
        <v>0.15650969529085873</v>
      </c>
      <c r="G167" s="19"/>
    </row>
    <row r="168" spans="1:7" s="140" customFormat="1" ht="15.75" customHeight="1">
      <c r="A168" s="72">
        <v>45951</v>
      </c>
      <c r="B168" s="19" t="s">
        <v>340</v>
      </c>
      <c r="C168" s="22" t="s">
        <v>341</v>
      </c>
      <c r="D168" s="20">
        <v>158</v>
      </c>
      <c r="E168" s="21">
        <v>163</v>
      </c>
      <c r="F168" s="143">
        <f t="shared" si="7"/>
        <v>3.0674846625766871E-2</v>
      </c>
      <c r="G168" s="19"/>
    </row>
    <row r="169" spans="1:7" s="140" customFormat="1" ht="15.75" customHeight="1">
      <c r="A169" s="72">
        <v>45951</v>
      </c>
      <c r="B169" s="19" t="s">
        <v>342</v>
      </c>
      <c r="C169" s="24" t="s">
        <v>343</v>
      </c>
      <c r="D169" s="20">
        <v>875</v>
      </c>
      <c r="E169" s="21">
        <v>839</v>
      </c>
      <c r="F169" s="143">
        <f t="shared" si="7"/>
        <v>-4.2908224076281289E-2</v>
      </c>
      <c r="G169" s="19"/>
    </row>
    <row r="170" spans="1:7" s="140" customFormat="1" ht="15.75" customHeight="1">
      <c r="A170" s="72">
        <v>45953</v>
      </c>
      <c r="B170" s="19" t="s">
        <v>344</v>
      </c>
      <c r="C170" s="24" t="s">
        <v>345</v>
      </c>
      <c r="D170" s="20">
        <v>212</v>
      </c>
      <c r="E170" s="21">
        <v>216</v>
      </c>
      <c r="F170" s="143">
        <f t="shared" si="7"/>
        <v>1.8518518518518517E-2</v>
      </c>
      <c r="G170" s="19"/>
    </row>
    <row r="171" spans="1:7" s="140" customFormat="1" ht="15.75" customHeight="1">
      <c r="A171" s="99">
        <v>45953</v>
      </c>
      <c r="B171" s="31" t="s">
        <v>27</v>
      </c>
      <c r="C171" s="32" t="s">
        <v>346</v>
      </c>
      <c r="D171" s="28">
        <v>1300</v>
      </c>
      <c r="E171" s="34">
        <v>1491</v>
      </c>
      <c r="F171" s="143">
        <f t="shared" si="7"/>
        <v>0.12810194500335345</v>
      </c>
      <c r="G171" s="19"/>
    </row>
    <row r="172" spans="1:7" s="140" customFormat="1" ht="15.75" customHeight="1">
      <c r="A172" s="72">
        <v>45953</v>
      </c>
      <c r="B172" s="19" t="s">
        <v>113</v>
      </c>
      <c r="C172" s="24" t="s">
        <v>347</v>
      </c>
      <c r="D172" s="20">
        <v>232</v>
      </c>
      <c r="E172" s="21">
        <v>259</v>
      </c>
      <c r="F172" s="143">
        <f t="shared" si="7"/>
        <v>0.10424710424710425</v>
      </c>
      <c r="G172" s="19"/>
    </row>
    <row r="173" spans="1:7" s="140" customFormat="1" ht="15.75" customHeight="1">
      <c r="A173" s="72">
        <v>45953</v>
      </c>
      <c r="B173" s="19" t="s">
        <v>348</v>
      </c>
      <c r="C173" s="24" t="s">
        <v>349</v>
      </c>
      <c r="D173" s="20">
        <v>1082</v>
      </c>
      <c r="E173" s="21">
        <v>1069</v>
      </c>
      <c r="F173" s="143">
        <f t="shared" si="7"/>
        <v>-1.216089803554724E-2</v>
      </c>
      <c r="G173" s="19"/>
    </row>
    <row r="174" spans="1:7" s="140" customFormat="1" ht="15.75" customHeight="1">
      <c r="A174" s="72">
        <v>45953</v>
      </c>
      <c r="B174" s="19" t="s">
        <v>350</v>
      </c>
      <c r="C174" s="24" t="s">
        <v>351</v>
      </c>
      <c r="D174" s="20">
        <v>153</v>
      </c>
      <c r="E174" s="21">
        <v>151</v>
      </c>
      <c r="F174" s="143">
        <f t="shared" si="7"/>
        <v>-1.3245033112582781E-2</v>
      </c>
      <c r="G174" s="19"/>
    </row>
    <row r="175" spans="1:7" s="140" customFormat="1" ht="15.75" customHeight="1">
      <c r="A175" s="72">
        <v>45953</v>
      </c>
      <c r="B175" s="19" t="s">
        <v>352</v>
      </c>
      <c r="C175" s="24" t="s">
        <v>353</v>
      </c>
      <c r="D175" s="20">
        <v>214</v>
      </c>
      <c r="E175" s="21">
        <v>211</v>
      </c>
      <c r="F175" s="143">
        <f t="shared" si="7"/>
        <v>-1.4218009478672985E-2</v>
      </c>
      <c r="G175" s="19"/>
    </row>
    <row r="176" spans="1:7" s="140" customFormat="1" ht="15.75" customHeight="1">
      <c r="A176" s="72">
        <v>45953</v>
      </c>
      <c r="B176" s="19" t="s">
        <v>354</v>
      </c>
      <c r="C176" s="24" t="s">
        <v>355</v>
      </c>
      <c r="D176" s="20">
        <v>625</v>
      </c>
      <c r="E176" s="21">
        <v>662</v>
      </c>
      <c r="F176" s="143">
        <f t="shared" si="7"/>
        <v>5.5891238670694864E-2</v>
      </c>
      <c r="G176" s="19"/>
    </row>
    <row r="177" spans="1:7" s="140" customFormat="1" ht="15.75" customHeight="1">
      <c r="A177" s="72">
        <v>45953</v>
      </c>
      <c r="B177" s="19" t="s">
        <v>356</v>
      </c>
      <c r="C177" s="24" t="s">
        <v>357</v>
      </c>
      <c r="D177" s="20">
        <v>47.52</v>
      </c>
      <c r="E177" s="21">
        <v>56</v>
      </c>
      <c r="F177" s="143">
        <f t="shared" si="7"/>
        <v>0.15142857142857138</v>
      </c>
      <c r="G177" s="19"/>
    </row>
    <row r="178" spans="1:7" s="140" customFormat="1" ht="15.75" customHeight="1">
      <c r="A178" s="72">
        <v>45953</v>
      </c>
      <c r="B178" s="19" t="s">
        <v>358</v>
      </c>
      <c r="C178" s="24" t="s">
        <v>359</v>
      </c>
      <c r="D178" s="20">
        <v>123</v>
      </c>
      <c r="E178" s="21">
        <v>117</v>
      </c>
      <c r="F178" s="143">
        <f t="shared" si="7"/>
        <v>-5.128205128205128E-2</v>
      </c>
      <c r="G178" s="19"/>
    </row>
    <row r="179" spans="1:7" s="140" customFormat="1" ht="15.75" customHeight="1">
      <c r="A179" s="72">
        <v>45953</v>
      </c>
      <c r="B179" s="19" t="s">
        <v>360</v>
      </c>
      <c r="C179" s="24" t="s">
        <v>361</v>
      </c>
      <c r="D179" s="20">
        <v>78</v>
      </c>
      <c r="E179" s="21">
        <v>81</v>
      </c>
      <c r="F179" s="143">
        <f t="shared" si="7"/>
        <v>3.7037037037037035E-2</v>
      </c>
      <c r="G179" s="19"/>
    </row>
    <row r="180" spans="1:7" s="140" customFormat="1" ht="15.75" customHeight="1">
      <c r="A180" s="72">
        <v>45953</v>
      </c>
      <c r="B180" s="19" t="s">
        <v>362</v>
      </c>
      <c r="C180" s="24" t="s">
        <v>363</v>
      </c>
      <c r="D180" s="104">
        <v>2103</v>
      </c>
      <c r="E180" s="21">
        <v>1933</v>
      </c>
      <c r="F180" s="143">
        <f t="shared" si="7"/>
        <v>-8.7946197620279359E-2</v>
      </c>
      <c r="G180" s="19"/>
    </row>
    <row r="181" spans="1:7" s="140" customFormat="1" ht="15.75" customHeight="1">
      <c r="A181" s="72">
        <v>45953</v>
      </c>
      <c r="B181" s="19" t="s">
        <v>364</v>
      </c>
      <c r="C181" s="24" t="s">
        <v>365</v>
      </c>
      <c r="D181" s="20">
        <v>372</v>
      </c>
      <c r="E181" s="21">
        <v>355</v>
      </c>
      <c r="F181" s="143">
        <f t="shared" si="7"/>
        <v>-4.788732394366197E-2</v>
      </c>
      <c r="G181" s="19"/>
    </row>
    <row r="182" spans="1:7" s="140" customFormat="1" ht="15.75" customHeight="1">
      <c r="A182" s="72">
        <v>45953</v>
      </c>
      <c r="B182" s="19" t="s">
        <v>366</v>
      </c>
      <c r="C182" s="24" t="s">
        <v>367</v>
      </c>
      <c r="D182" s="20">
        <v>417</v>
      </c>
      <c r="E182" s="21">
        <v>433</v>
      </c>
      <c r="F182" s="143">
        <f t="shared" si="7"/>
        <v>3.695150115473441E-2</v>
      </c>
      <c r="G182" s="19"/>
    </row>
    <row r="183" spans="1:7" s="140" customFormat="1" ht="15.75" customHeight="1">
      <c r="A183" s="72">
        <v>45953</v>
      </c>
      <c r="B183" s="19" t="s">
        <v>368</v>
      </c>
      <c r="C183" s="24" t="s">
        <v>369</v>
      </c>
      <c r="D183" s="20">
        <v>508</v>
      </c>
      <c r="E183" s="21">
        <v>535</v>
      </c>
      <c r="F183" s="143">
        <f t="shared" si="7"/>
        <v>5.046728971962617E-2</v>
      </c>
      <c r="G183" s="19"/>
    </row>
    <row r="184" spans="1:7" s="140" customFormat="1" ht="15.75" customHeight="1">
      <c r="A184" s="72">
        <v>45953</v>
      </c>
      <c r="B184" s="19" t="s">
        <v>370</v>
      </c>
      <c r="C184" s="24" t="s">
        <v>371</v>
      </c>
      <c r="D184" s="20">
        <v>92</v>
      </c>
      <c r="E184" s="21">
        <v>93</v>
      </c>
      <c r="F184" s="143">
        <f t="shared" si="7"/>
        <v>1.0752688172043012E-2</v>
      </c>
      <c r="G184" s="19"/>
    </row>
    <row r="185" spans="1:7" s="140" customFormat="1" ht="15.75" customHeight="1">
      <c r="A185" s="72">
        <v>45953</v>
      </c>
      <c r="B185" s="19" t="s">
        <v>372</v>
      </c>
      <c r="C185" s="24" t="s">
        <v>373</v>
      </c>
      <c r="D185" s="20">
        <v>1178</v>
      </c>
      <c r="E185" s="21">
        <v>1080</v>
      </c>
      <c r="F185" s="143">
        <f t="shared" si="7"/>
        <v>-9.0740740740740747E-2</v>
      </c>
      <c r="G185" s="19"/>
    </row>
    <row r="186" spans="1:7" s="140" customFormat="1" ht="15.75" customHeight="1">
      <c r="A186" s="72">
        <v>45953</v>
      </c>
      <c r="B186" s="19" t="s">
        <v>374</v>
      </c>
      <c r="C186" s="24" t="s">
        <v>375</v>
      </c>
      <c r="D186" s="20">
        <v>181</v>
      </c>
      <c r="E186" s="21">
        <v>179</v>
      </c>
      <c r="F186" s="143">
        <f t="shared" si="7"/>
        <v>-1.11731843575419E-2</v>
      </c>
      <c r="G186" s="19"/>
    </row>
    <row r="187" spans="1:7" s="140" customFormat="1" ht="15.75" customHeight="1">
      <c r="A187" s="72">
        <v>45956</v>
      </c>
      <c r="B187" s="19" t="s">
        <v>376</v>
      </c>
      <c r="C187" s="24" t="s">
        <v>37</v>
      </c>
      <c r="D187" s="20">
        <v>3276</v>
      </c>
      <c r="E187" s="21">
        <v>3200</v>
      </c>
      <c r="F187" s="143">
        <f t="shared" si="7"/>
        <v>-2.375E-2</v>
      </c>
      <c r="G187" s="19"/>
    </row>
    <row r="188" spans="1:7" s="140" customFormat="1" ht="15.75" customHeight="1">
      <c r="A188" s="72">
        <v>45958</v>
      </c>
      <c r="B188" s="19" t="s">
        <v>377</v>
      </c>
      <c r="C188" s="24" t="s">
        <v>378</v>
      </c>
      <c r="D188" s="20">
        <v>382</v>
      </c>
      <c r="E188" s="21">
        <v>427</v>
      </c>
      <c r="F188" s="143">
        <f t="shared" si="7"/>
        <v>0.1053864168618267</v>
      </c>
      <c r="G188" s="19"/>
    </row>
    <row r="189" spans="1:7" s="140" customFormat="1" ht="15.75" customHeight="1">
      <c r="A189" s="19"/>
      <c r="B189" s="23"/>
      <c r="C189" s="147">
        <v>45962</v>
      </c>
      <c r="D189" s="20"/>
      <c r="E189" s="21"/>
      <c r="F189" s="143"/>
      <c r="G189" s="19"/>
    </row>
    <row r="190" spans="1:7" s="140" customFormat="1" ht="15.75" customHeight="1">
      <c r="A190" s="152">
        <v>45963</v>
      </c>
      <c r="B190" s="31" t="s">
        <v>379</v>
      </c>
      <c r="C190" s="32" t="s">
        <v>380</v>
      </c>
      <c r="D190" s="33">
        <v>103</v>
      </c>
      <c r="E190" s="34">
        <v>114</v>
      </c>
      <c r="F190" s="143">
        <f t="shared" ref="F190:F204" si="8">(E190-D190)/E190</f>
        <v>9.6491228070175433E-2</v>
      </c>
      <c r="G190" s="19"/>
    </row>
    <row r="191" spans="1:7" s="140" customFormat="1" ht="15.75" customHeight="1">
      <c r="A191" s="153">
        <v>45963</v>
      </c>
      <c r="B191" s="19" t="s">
        <v>381</v>
      </c>
      <c r="C191" s="24" t="s">
        <v>382</v>
      </c>
      <c r="D191" s="20">
        <v>448</v>
      </c>
      <c r="E191" s="21">
        <v>482</v>
      </c>
      <c r="F191" s="143">
        <f t="shared" si="8"/>
        <v>7.0539419087136929E-2</v>
      </c>
      <c r="G191" s="19"/>
    </row>
    <row r="192" spans="1:7" s="140" customFormat="1" ht="15.75" customHeight="1">
      <c r="A192" s="72">
        <v>45964</v>
      </c>
      <c r="B192" s="19" t="s">
        <v>39</v>
      </c>
      <c r="C192" s="24" t="s">
        <v>383</v>
      </c>
      <c r="D192" s="20">
        <v>5552</v>
      </c>
      <c r="E192" s="21">
        <v>5843</v>
      </c>
      <c r="F192" s="143">
        <f t="shared" si="8"/>
        <v>4.9803183296251927E-2</v>
      </c>
      <c r="G192" s="19"/>
    </row>
    <row r="193" spans="1:12" s="140" customFormat="1" ht="15.75" customHeight="1">
      <c r="A193" s="72">
        <v>45979</v>
      </c>
      <c r="B193" s="19" t="s">
        <v>384</v>
      </c>
      <c r="C193" s="24" t="s">
        <v>385</v>
      </c>
      <c r="D193" s="20">
        <v>162</v>
      </c>
      <c r="E193" s="21">
        <v>165</v>
      </c>
      <c r="F193" s="143">
        <f t="shared" si="8"/>
        <v>1.8181818181818181E-2</v>
      </c>
      <c r="G193" s="19"/>
    </row>
    <row r="194" spans="1:12" s="140" customFormat="1" ht="15.75" customHeight="1">
      <c r="A194" s="72">
        <v>45979</v>
      </c>
      <c r="B194" s="19" t="s">
        <v>386</v>
      </c>
      <c r="C194" s="24" t="s">
        <v>387</v>
      </c>
      <c r="D194" s="20">
        <v>247</v>
      </c>
      <c r="E194" s="21">
        <v>206</v>
      </c>
      <c r="F194" s="143">
        <f t="shared" si="8"/>
        <v>-0.19902912621359223</v>
      </c>
      <c r="G194" s="19"/>
    </row>
    <row r="195" spans="1:12" s="140" customFormat="1" ht="15.75" customHeight="1">
      <c r="A195" s="72">
        <v>45979</v>
      </c>
      <c r="B195" s="19" t="s">
        <v>388</v>
      </c>
      <c r="C195" s="24" t="s">
        <v>389</v>
      </c>
      <c r="D195" s="20">
        <v>829</v>
      </c>
      <c r="E195" s="21">
        <v>863</v>
      </c>
      <c r="F195" s="143">
        <f t="shared" si="8"/>
        <v>3.9397450753186555E-2</v>
      </c>
      <c r="G195" s="19"/>
    </row>
    <row r="196" spans="1:12" s="140" customFormat="1" ht="15.75" customHeight="1">
      <c r="A196" s="154">
        <v>45982</v>
      </c>
      <c r="B196" s="48" t="s">
        <v>390</v>
      </c>
      <c r="C196" s="105" t="s">
        <v>391</v>
      </c>
      <c r="D196" s="50">
        <v>343</v>
      </c>
      <c r="E196" s="51">
        <v>404</v>
      </c>
      <c r="F196" s="144">
        <f t="shared" si="8"/>
        <v>0.15099009900990099</v>
      </c>
      <c r="G196" s="155"/>
      <c r="H196" s="156"/>
      <c r="I196" s="156"/>
      <c r="J196" s="157"/>
      <c r="K196" s="157"/>
      <c r="L196" s="157"/>
    </row>
    <row r="197" spans="1:12" s="140" customFormat="1" ht="15.75" customHeight="1">
      <c r="A197" s="72">
        <v>45984</v>
      </c>
      <c r="B197" s="19" t="s">
        <v>392</v>
      </c>
      <c r="C197" s="24" t="s">
        <v>393</v>
      </c>
      <c r="D197" s="20">
        <v>763</v>
      </c>
      <c r="E197" s="21">
        <v>743</v>
      </c>
      <c r="F197" s="143">
        <f t="shared" si="8"/>
        <v>-2.6917900403768506E-2</v>
      </c>
      <c r="G197" s="155"/>
      <c r="H197" s="156"/>
      <c r="I197" s="156"/>
      <c r="J197" s="157"/>
      <c r="K197" s="157"/>
      <c r="L197" s="157"/>
    </row>
    <row r="198" spans="1:12" s="140" customFormat="1" ht="15.75" customHeight="1">
      <c r="A198" s="18">
        <v>45728</v>
      </c>
      <c r="B198" s="19" t="s">
        <v>394</v>
      </c>
      <c r="C198" s="24" t="s">
        <v>395</v>
      </c>
      <c r="D198" s="20">
        <v>655</v>
      </c>
      <c r="E198" s="21">
        <v>841</v>
      </c>
      <c r="F198" s="143">
        <f t="shared" si="8"/>
        <v>0.2211652794292509</v>
      </c>
      <c r="G198" s="155"/>
      <c r="H198" s="156"/>
      <c r="I198" s="156"/>
      <c r="J198" s="157"/>
      <c r="K198" s="157"/>
      <c r="L198" s="157"/>
    </row>
    <row r="199" spans="1:12" s="140" customFormat="1" ht="15.75" customHeight="1">
      <c r="A199" s="72">
        <v>45986</v>
      </c>
      <c r="B199" s="19" t="s">
        <v>24</v>
      </c>
      <c r="C199" s="24" t="s">
        <v>396</v>
      </c>
      <c r="D199" s="20">
        <v>41</v>
      </c>
      <c r="E199" s="21">
        <v>41.76</v>
      </c>
      <c r="F199" s="143">
        <f t="shared" si="8"/>
        <v>1.8199233716475048E-2</v>
      </c>
      <c r="G199" s="155"/>
      <c r="H199" s="156"/>
      <c r="I199" s="156"/>
      <c r="J199" s="157"/>
      <c r="K199" s="157"/>
      <c r="L199" s="157"/>
    </row>
    <row r="200" spans="1:12" s="140" customFormat="1" ht="15.75" customHeight="1">
      <c r="A200" s="72">
        <v>45986</v>
      </c>
      <c r="B200" s="19" t="s">
        <v>397</v>
      </c>
      <c r="C200" s="24" t="s">
        <v>398</v>
      </c>
      <c r="D200" s="20">
        <v>1677</v>
      </c>
      <c r="E200" s="21">
        <v>1645</v>
      </c>
      <c r="F200" s="143">
        <f t="shared" si="8"/>
        <v>-1.9452887537993922E-2</v>
      </c>
      <c r="G200" s="155"/>
      <c r="H200" s="156"/>
      <c r="I200" s="156"/>
      <c r="J200" s="157"/>
      <c r="K200" s="157"/>
      <c r="L200" s="157"/>
    </row>
    <row r="201" spans="1:12" s="140" customFormat="1" ht="15.75" customHeight="1">
      <c r="A201" s="72">
        <v>45986</v>
      </c>
      <c r="B201" s="19" t="s">
        <v>399</v>
      </c>
      <c r="C201" s="24" t="s">
        <v>400</v>
      </c>
      <c r="D201" s="20">
        <v>1828</v>
      </c>
      <c r="E201" s="21">
        <v>1866</v>
      </c>
      <c r="F201" s="143">
        <f t="shared" si="8"/>
        <v>2.0364415862808145E-2</v>
      </c>
      <c r="G201" s="155"/>
      <c r="H201" s="156"/>
      <c r="I201" s="156"/>
      <c r="J201" s="157"/>
      <c r="K201" s="157"/>
      <c r="L201" s="157"/>
    </row>
    <row r="202" spans="1:12" s="140" customFormat="1" ht="15.75" customHeight="1">
      <c r="A202" s="72">
        <v>45986</v>
      </c>
      <c r="B202" s="19" t="s">
        <v>401</v>
      </c>
      <c r="C202" s="24" t="s">
        <v>402</v>
      </c>
      <c r="D202" s="20">
        <v>1694</v>
      </c>
      <c r="E202" s="21">
        <v>1665</v>
      </c>
      <c r="F202" s="143">
        <f t="shared" si="8"/>
        <v>-1.7417417417417418E-2</v>
      </c>
      <c r="G202" s="155"/>
      <c r="H202" s="156"/>
      <c r="I202" s="156"/>
      <c r="J202" s="157"/>
      <c r="K202" s="157"/>
      <c r="L202" s="157"/>
    </row>
    <row r="203" spans="1:12" s="140" customFormat="1" ht="15.75" customHeight="1">
      <c r="A203" s="72">
        <v>45986</v>
      </c>
      <c r="B203" s="19" t="s">
        <v>403</v>
      </c>
      <c r="C203" s="24" t="s">
        <v>404</v>
      </c>
      <c r="D203" s="20">
        <v>8980</v>
      </c>
      <c r="E203" s="21">
        <v>9282</v>
      </c>
      <c r="F203" s="143">
        <f t="shared" si="8"/>
        <v>3.2536091359620774E-2</v>
      </c>
      <c r="G203" s="155"/>
      <c r="H203" s="156"/>
      <c r="I203" s="156"/>
      <c r="J203" s="157"/>
      <c r="K203" s="157"/>
      <c r="L203" s="157"/>
    </row>
    <row r="204" spans="1:12" s="140" customFormat="1" ht="15.75" customHeight="1">
      <c r="A204" s="72">
        <v>45986</v>
      </c>
      <c r="B204" s="19" t="s">
        <v>405</v>
      </c>
      <c r="C204" s="24" t="s">
        <v>406</v>
      </c>
      <c r="D204" s="20">
        <v>1731</v>
      </c>
      <c r="E204" s="21">
        <v>1829</v>
      </c>
      <c r="F204" s="143">
        <f t="shared" si="8"/>
        <v>5.358119190814653E-2</v>
      </c>
      <c r="G204" s="19"/>
    </row>
    <row r="205" spans="1:12" s="140" customFormat="1" ht="15.75" customHeight="1">
      <c r="A205" s="72"/>
      <c r="B205" s="19"/>
      <c r="C205" s="158">
        <v>45992</v>
      </c>
      <c r="D205" s="20"/>
      <c r="E205" s="21"/>
      <c r="F205" s="148"/>
      <c r="G205" s="159"/>
      <c r="H205" s="160"/>
    </row>
    <row r="206" spans="1:12" s="140" customFormat="1" ht="15.75" customHeight="1">
      <c r="A206" s="72">
        <v>45996</v>
      </c>
      <c r="B206" s="19" t="s">
        <v>20</v>
      </c>
      <c r="C206" s="24" t="s">
        <v>407</v>
      </c>
      <c r="D206" s="20">
        <v>1668</v>
      </c>
      <c r="E206" s="21">
        <v>1615</v>
      </c>
      <c r="F206" s="143">
        <f t="shared" ref="F206:F239" si="9">(E206-D206)/E206</f>
        <v>-3.2817337461300312E-2</v>
      </c>
      <c r="G206" s="159"/>
      <c r="H206" s="160"/>
    </row>
    <row r="207" spans="1:12" s="140" customFormat="1" ht="15.75" customHeight="1">
      <c r="A207" s="72">
        <v>45996</v>
      </c>
      <c r="B207" s="19" t="s">
        <v>21</v>
      </c>
      <c r="C207" s="24" t="s">
        <v>22</v>
      </c>
      <c r="D207" s="20">
        <v>1480</v>
      </c>
      <c r="E207" s="21">
        <v>1621</v>
      </c>
      <c r="F207" s="143">
        <f t="shared" si="9"/>
        <v>8.698334361505243E-2</v>
      </c>
      <c r="G207" s="159"/>
      <c r="H207" s="160"/>
    </row>
    <row r="208" spans="1:12" s="140" customFormat="1" ht="15.75" customHeight="1">
      <c r="A208" s="72">
        <v>45996</v>
      </c>
      <c r="B208" s="19" t="s">
        <v>25</v>
      </c>
      <c r="C208" s="24" t="s">
        <v>26</v>
      </c>
      <c r="D208" s="20">
        <v>5503</v>
      </c>
      <c r="E208" s="21">
        <v>6074</v>
      </c>
      <c r="F208" s="143">
        <f t="shared" si="9"/>
        <v>9.4007243990780379E-2</v>
      </c>
      <c r="G208" s="159"/>
      <c r="H208" s="160"/>
    </row>
    <row r="209" spans="1:8" s="140" customFormat="1" ht="15.75" customHeight="1">
      <c r="A209" s="72">
        <v>45998</v>
      </c>
      <c r="B209" s="19" t="s">
        <v>39</v>
      </c>
      <c r="C209" s="24" t="s">
        <v>408</v>
      </c>
      <c r="D209" s="20">
        <v>5370</v>
      </c>
      <c r="E209" s="21">
        <v>5018</v>
      </c>
      <c r="F209" s="143">
        <f t="shared" si="9"/>
        <v>-7.0147469111199678E-2</v>
      </c>
      <c r="G209" s="159"/>
      <c r="H209" s="160"/>
    </row>
    <row r="210" spans="1:8" s="140" customFormat="1" ht="15.75" customHeight="1">
      <c r="A210" s="72">
        <v>45998</v>
      </c>
      <c r="B210" s="19" t="s">
        <v>409</v>
      </c>
      <c r="C210" s="24" t="s">
        <v>410</v>
      </c>
      <c r="D210" s="20">
        <v>1857</v>
      </c>
      <c r="E210" s="21">
        <v>1858</v>
      </c>
      <c r="F210" s="143">
        <f t="shared" si="9"/>
        <v>5.3821313240043052E-4</v>
      </c>
      <c r="G210" s="19"/>
    </row>
    <row r="211" spans="1:8" s="140" customFormat="1" ht="15.75" customHeight="1">
      <c r="A211" s="72">
        <v>45998</v>
      </c>
      <c r="B211" s="19" t="s">
        <v>411</v>
      </c>
      <c r="C211" s="24" t="s">
        <v>412</v>
      </c>
      <c r="D211" s="20">
        <v>863</v>
      </c>
      <c r="E211" s="21">
        <v>845</v>
      </c>
      <c r="F211" s="143">
        <f t="shared" si="9"/>
        <v>-2.1301775147928994E-2</v>
      </c>
      <c r="G211" s="19"/>
    </row>
    <row r="212" spans="1:8" s="140" customFormat="1" ht="15.75" customHeight="1">
      <c r="A212" s="72">
        <v>46007</v>
      </c>
      <c r="B212" s="19" t="s">
        <v>401</v>
      </c>
      <c r="C212" s="24" t="s">
        <v>413</v>
      </c>
      <c r="D212" s="20">
        <v>1694</v>
      </c>
      <c r="E212" s="21">
        <v>1665</v>
      </c>
      <c r="F212" s="143">
        <f t="shared" si="9"/>
        <v>-1.7417417417417418E-2</v>
      </c>
      <c r="G212" s="19"/>
    </row>
    <row r="213" spans="1:8" s="140" customFormat="1" ht="15.75" customHeight="1">
      <c r="A213" s="99">
        <v>46007</v>
      </c>
      <c r="B213" s="31" t="s">
        <v>414</v>
      </c>
      <c r="C213" s="32" t="s">
        <v>415</v>
      </c>
      <c r="D213" s="33">
        <v>3779</v>
      </c>
      <c r="E213" s="34">
        <v>4112</v>
      </c>
      <c r="F213" s="143">
        <f t="shared" si="9"/>
        <v>8.0982490272373545E-2</v>
      </c>
      <c r="G213" s="19"/>
    </row>
    <row r="214" spans="1:8" s="140" customFormat="1" ht="15.75" customHeight="1">
      <c r="A214" s="72">
        <v>46007</v>
      </c>
      <c r="B214" s="19" t="s">
        <v>416</v>
      </c>
      <c r="C214" s="24" t="s">
        <v>417</v>
      </c>
      <c r="D214" s="20">
        <v>815</v>
      </c>
      <c r="E214" s="21">
        <v>866</v>
      </c>
      <c r="F214" s="143">
        <f t="shared" si="9"/>
        <v>5.889145496535797E-2</v>
      </c>
      <c r="G214" s="19"/>
    </row>
    <row r="215" spans="1:8" s="140" customFormat="1" ht="15.75" customHeight="1">
      <c r="A215" s="72">
        <v>46008</v>
      </c>
      <c r="B215" s="19" t="s">
        <v>418</v>
      </c>
      <c r="C215" s="24" t="s">
        <v>419</v>
      </c>
      <c r="D215" s="20">
        <v>250</v>
      </c>
      <c r="E215" s="21">
        <v>259</v>
      </c>
      <c r="F215" s="143">
        <f t="shared" si="9"/>
        <v>3.4749034749034749E-2</v>
      </c>
      <c r="G215" s="19"/>
    </row>
    <row r="216" spans="1:8" s="140" customFormat="1" ht="15.75" customHeight="1">
      <c r="A216" s="72">
        <v>46009</v>
      </c>
      <c r="B216" s="19" t="s">
        <v>420</v>
      </c>
      <c r="C216" s="24" t="s">
        <v>421</v>
      </c>
      <c r="D216" s="20">
        <v>2722</v>
      </c>
      <c r="E216" s="21">
        <v>2630</v>
      </c>
      <c r="F216" s="143">
        <f t="shared" si="9"/>
        <v>-3.4980988593155897E-2</v>
      </c>
      <c r="G216" s="19"/>
    </row>
    <row r="217" spans="1:8" s="140" customFormat="1" ht="15.75" customHeight="1">
      <c r="A217" s="72">
        <v>46009</v>
      </c>
      <c r="B217" s="19" t="s">
        <v>85</v>
      </c>
      <c r="C217" s="24" t="s">
        <v>422</v>
      </c>
      <c r="D217" s="20">
        <v>152</v>
      </c>
      <c r="E217" s="21">
        <v>165</v>
      </c>
      <c r="F217" s="143">
        <f t="shared" si="9"/>
        <v>7.8787878787878782E-2</v>
      </c>
      <c r="G217" s="19"/>
    </row>
    <row r="218" spans="1:8" s="140" customFormat="1" ht="15.75" customHeight="1">
      <c r="A218" s="72">
        <v>46009</v>
      </c>
      <c r="B218" s="19" t="s">
        <v>28</v>
      </c>
      <c r="C218" s="24" t="s">
        <v>423</v>
      </c>
      <c r="D218" s="20">
        <v>1463.9</v>
      </c>
      <c r="E218" s="21">
        <v>1433</v>
      </c>
      <c r="F218" s="143">
        <f t="shared" si="9"/>
        <v>-2.1563154221912136E-2</v>
      </c>
      <c r="G218" s="19"/>
    </row>
    <row r="219" spans="1:8" s="140" customFormat="1" ht="15.75" customHeight="1">
      <c r="A219" s="72">
        <v>46009</v>
      </c>
      <c r="B219" s="19" t="s">
        <v>424</v>
      </c>
      <c r="C219" s="24" t="s">
        <v>425</v>
      </c>
      <c r="D219" s="20">
        <v>160</v>
      </c>
      <c r="E219" s="21">
        <v>162</v>
      </c>
      <c r="F219" s="143">
        <f t="shared" si="9"/>
        <v>1.2345679012345678E-2</v>
      </c>
      <c r="G219" s="19"/>
    </row>
    <row r="220" spans="1:8" s="140" customFormat="1" ht="15.75" customHeight="1">
      <c r="A220" s="72">
        <v>46010</v>
      </c>
      <c r="B220" s="19" t="s">
        <v>426</v>
      </c>
      <c r="C220" s="24" t="s">
        <v>427</v>
      </c>
      <c r="D220" s="20">
        <v>1458</v>
      </c>
      <c r="E220" s="21">
        <v>1371</v>
      </c>
      <c r="F220" s="143">
        <f t="shared" si="9"/>
        <v>-6.3457330415754923E-2</v>
      </c>
      <c r="G220" s="19"/>
    </row>
    <row r="221" spans="1:8" s="140" customFormat="1" ht="15.75" customHeight="1">
      <c r="A221" s="99">
        <v>46010</v>
      </c>
      <c r="B221" s="31" t="s">
        <v>428</v>
      </c>
      <c r="C221" s="32" t="s">
        <v>429</v>
      </c>
      <c r="D221" s="33">
        <v>18111</v>
      </c>
      <c r="E221" s="34">
        <v>20484</v>
      </c>
      <c r="F221" s="143">
        <f t="shared" si="9"/>
        <v>0.11584651435266549</v>
      </c>
      <c r="G221" s="19"/>
    </row>
    <row r="222" spans="1:8" s="140" customFormat="1" ht="15.75" customHeight="1">
      <c r="A222" s="72">
        <v>46010</v>
      </c>
      <c r="B222" s="19" t="s">
        <v>17</v>
      </c>
      <c r="C222" s="24" t="s">
        <v>18</v>
      </c>
      <c r="D222" s="20">
        <v>1992</v>
      </c>
      <c r="E222" s="21">
        <v>2029</v>
      </c>
      <c r="F222" s="143">
        <f t="shared" si="9"/>
        <v>1.8235584031542632E-2</v>
      </c>
      <c r="G222" s="19"/>
    </row>
    <row r="223" spans="1:8" s="140" customFormat="1" ht="15.75" customHeight="1">
      <c r="A223" s="161">
        <v>46010</v>
      </c>
      <c r="B223" s="19" t="s">
        <v>430</v>
      </c>
      <c r="C223" s="24" t="s">
        <v>346</v>
      </c>
      <c r="D223" s="20">
        <v>1300</v>
      </c>
      <c r="E223" s="21">
        <v>1454</v>
      </c>
      <c r="F223" s="143">
        <f t="shared" si="9"/>
        <v>0.10591471801925723</v>
      </c>
      <c r="G223" s="19"/>
    </row>
    <row r="224" spans="1:8" s="140" customFormat="1" ht="15.75" customHeight="1">
      <c r="A224" s="72">
        <v>46010</v>
      </c>
      <c r="B224" s="19" t="s">
        <v>431</v>
      </c>
      <c r="C224" s="24" t="s">
        <v>432</v>
      </c>
      <c r="D224" s="20">
        <v>226</v>
      </c>
      <c r="E224" s="21">
        <v>259</v>
      </c>
      <c r="F224" s="143">
        <f t="shared" si="9"/>
        <v>0.12741312741312741</v>
      </c>
      <c r="G224" s="19"/>
    </row>
    <row r="225" spans="1:7" s="140" customFormat="1" ht="15.75" customHeight="1">
      <c r="A225" s="72">
        <v>46012</v>
      </c>
      <c r="B225" s="19" t="s">
        <v>433</v>
      </c>
      <c r="C225" s="24" t="s">
        <v>434</v>
      </c>
      <c r="D225" s="20">
        <v>386</v>
      </c>
      <c r="E225" s="21">
        <v>440</v>
      </c>
      <c r="F225" s="143">
        <f t="shared" si="9"/>
        <v>0.12272727272727273</v>
      </c>
      <c r="G225" s="19"/>
    </row>
    <row r="226" spans="1:7" s="140" customFormat="1" ht="15.75" customHeight="1">
      <c r="A226" s="72">
        <v>46012</v>
      </c>
      <c r="B226" s="19" t="s">
        <v>435</v>
      </c>
      <c r="C226" s="24" t="s">
        <v>436</v>
      </c>
      <c r="D226" s="20">
        <v>702</v>
      </c>
      <c r="E226" s="21">
        <v>731</v>
      </c>
      <c r="F226" s="143">
        <f t="shared" si="9"/>
        <v>3.9671682626538987E-2</v>
      </c>
      <c r="G226" s="19"/>
    </row>
    <row r="227" spans="1:7" s="140" customFormat="1" ht="15.75" customHeight="1">
      <c r="A227" s="72">
        <v>46013</v>
      </c>
      <c r="B227" s="19" t="s">
        <v>437</v>
      </c>
      <c r="C227" s="24" t="s">
        <v>438</v>
      </c>
      <c r="D227" s="20">
        <v>147</v>
      </c>
      <c r="E227" s="21">
        <v>144</v>
      </c>
      <c r="F227" s="143">
        <f t="shared" si="9"/>
        <v>-2.0833333333333332E-2</v>
      </c>
      <c r="G227" s="19"/>
    </row>
    <row r="228" spans="1:7" s="140" customFormat="1" ht="15.75" customHeight="1">
      <c r="A228" s="72">
        <v>46014</v>
      </c>
      <c r="B228" s="19" t="s">
        <v>439</v>
      </c>
      <c r="C228" s="24" t="s">
        <v>440</v>
      </c>
      <c r="D228" s="20">
        <v>175</v>
      </c>
      <c r="E228" s="21">
        <v>181</v>
      </c>
      <c r="F228" s="143">
        <f t="shared" si="9"/>
        <v>3.3149171270718231E-2</v>
      </c>
      <c r="G228" s="19"/>
    </row>
    <row r="229" spans="1:7" s="140" customFormat="1" ht="15.75" customHeight="1">
      <c r="A229" s="72">
        <v>46014</v>
      </c>
      <c r="B229" s="19" t="s">
        <v>441</v>
      </c>
      <c r="C229" s="24" t="s">
        <v>442</v>
      </c>
      <c r="D229" s="20">
        <v>118</v>
      </c>
      <c r="E229" s="21">
        <v>124</v>
      </c>
      <c r="F229" s="143">
        <f t="shared" si="9"/>
        <v>4.8387096774193547E-2</v>
      </c>
      <c r="G229" s="19"/>
    </row>
    <row r="230" spans="1:7" s="140" customFormat="1" ht="15.75" customHeight="1">
      <c r="A230" s="72">
        <v>46014</v>
      </c>
      <c r="B230" s="19" t="s">
        <v>443</v>
      </c>
      <c r="C230" s="24" t="s">
        <v>444</v>
      </c>
      <c r="D230" s="20">
        <v>339</v>
      </c>
      <c r="E230" s="21">
        <v>360</v>
      </c>
      <c r="F230" s="143">
        <f t="shared" si="9"/>
        <v>5.8333333333333334E-2</v>
      </c>
      <c r="G230" s="19"/>
    </row>
    <row r="231" spans="1:7" s="140" customFormat="1" ht="15.75" customHeight="1">
      <c r="A231" s="72">
        <v>46014</v>
      </c>
      <c r="B231" s="19" t="s">
        <v>445</v>
      </c>
      <c r="C231" s="87" t="s">
        <v>446</v>
      </c>
      <c r="D231" s="20">
        <v>395</v>
      </c>
      <c r="E231" s="21">
        <v>398</v>
      </c>
      <c r="F231" s="143">
        <f t="shared" si="9"/>
        <v>7.537688442211055E-3</v>
      </c>
      <c r="G231" s="19"/>
    </row>
    <row r="232" spans="1:7" s="140" customFormat="1" ht="15.75" customHeight="1">
      <c r="A232" s="72">
        <v>46014</v>
      </c>
      <c r="B232" s="19" t="s">
        <v>447</v>
      </c>
      <c r="C232" s="24" t="s">
        <v>448</v>
      </c>
      <c r="D232" s="20">
        <v>159</v>
      </c>
      <c r="E232" s="21">
        <v>154</v>
      </c>
      <c r="F232" s="143">
        <f t="shared" si="9"/>
        <v>-3.2467532467532464E-2</v>
      </c>
      <c r="G232" s="19"/>
    </row>
    <row r="233" spans="1:7" s="140" customFormat="1" ht="15.75" customHeight="1">
      <c r="A233" s="72">
        <v>46015</v>
      </c>
      <c r="B233" s="19" t="s">
        <v>449</v>
      </c>
      <c r="C233" s="24" t="s">
        <v>450</v>
      </c>
      <c r="D233" s="20">
        <v>2369</v>
      </c>
      <c r="E233" s="21">
        <v>2284</v>
      </c>
      <c r="F233" s="143">
        <f t="shared" si="9"/>
        <v>-3.7215411558669004E-2</v>
      </c>
      <c r="G233" s="19"/>
    </row>
    <row r="234" spans="1:7" s="140" customFormat="1" ht="15.75" customHeight="1">
      <c r="A234" s="72">
        <v>46015</v>
      </c>
      <c r="B234" s="19" t="s">
        <v>451</v>
      </c>
      <c r="C234" s="24" t="s">
        <v>452</v>
      </c>
      <c r="D234" s="20">
        <v>963</v>
      </c>
      <c r="E234" s="21">
        <v>944</v>
      </c>
      <c r="F234" s="143">
        <f t="shared" si="9"/>
        <v>-2.0127118644067795E-2</v>
      </c>
      <c r="G234" s="19"/>
    </row>
    <row r="235" spans="1:7" s="140" customFormat="1" ht="15.75" customHeight="1">
      <c r="A235" s="72">
        <v>46015</v>
      </c>
      <c r="B235" s="19" t="s">
        <v>453</v>
      </c>
      <c r="C235" s="24" t="s">
        <v>454</v>
      </c>
      <c r="D235" s="162">
        <v>1451</v>
      </c>
      <c r="E235" s="37">
        <f ca="1">IFERROR(__xludf.DUMMYFUNCTION("GOOGLEFINANCE(""NSE:NUVAMA"",""price"")"),1605)</f>
        <v>1605</v>
      </c>
      <c r="F235" s="143">
        <f t="shared" ca="1" si="9"/>
        <v>9.5950155763239869E-2</v>
      </c>
      <c r="G235" s="19"/>
    </row>
    <row r="236" spans="1:7" s="140" customFormat="1" ht="15.75" customHeight="1">
      <c r="A236" s="72">
        <v>46016</v>
      </c>
      <c r="B236" s="38" t="s">
        <v>455</v>
      </c>
      <c r="C236" s="24" t="s">
        <v>456</v>
      </c>
      <c r="D236" s="20">
        <v>77</v>
      </c>
      <c r="E236" s="21">
        <f ca="1">IFERROR(__xludf.DUMMYFUNCTION("GOOGLEFINANCE(""NSE:ASIANTILES"",""price"")"),62.49)</f>
        <v>62.49</v>
      </c>
      <c r="F236" s="143">
        <f t="shared" ca="1" si="9"/>
        <v>-0.23219715154424703</v>
      </c>
      <c r="G236" s="19"/>
    </row>
    <row r="237" spans="1:7" s="140" customFormat="1" ht="15.75" customHeight="1">
      <c r="A237" s="72">
        <v>46016</v>
      </c>
      <c r="B237" s="19" t="s">
        <v>457</v>
      </c>
      <c r="C237" s="24" t="s">
        <v>458</v>
      </c>
      <c r="D237" s="20">
        <v>89</v>
      </c>
      <c r="E237" s="21">
        <f ca="1">IFERROR(__xludf.DUMMYFUNCTION("GOOGLEFINANCE(""NSE:SMCGLOBAL"",""price"")"),64.5)</f>
        <v>64.5</v>
      </c>
      <c r="F237" s="143">
        <f t="shared" ca="1" si="9"/>
        <v>-0.37984496124031009</v>
      </c>
      <c r="G237" s="19"/>
    </row>
    <row r="238" spans="1:7" s="140" customFormat="1" ht="15.75" customHeight="1">
      <c r="A238" s="72">
        <v>46020</v>
      </c>
      <c r="B238" s="19" t="s">
        <v>459</v>
      </c>
      <c r="C238" s="24" t="s">
        <v>460</v>
      </c>
      <c r="D238" s="20">
        <v>163</v>
      </c>
      <c r="E238" s="21">
        <v>162</v>
      </c>
      <c r="F238" s="143">
        <f t="shared" si="9"/>
        <v>-6.1728395061728392E-3</v>
      </c>
      <c r="G238" s="19"/>
    </row>
    <row r="239" spans="1:7" s="140" customFormat="1" ht="15.75" customHeight="1">
      <c r="A239" s="72">
        <v>46021</v>
      </c>
      <c r="B239" s="19" t="s">
        <v>461</v>
      </c>
      <c r="C239" s="24" t="s">
        <v>462</v>
      </c>
      <c r="D239" s="20">
        <v>702</v>
      </c>
      <c r="E239" s="21">
        <v>702</v>
      </c>
      <c r="F239" s="143">
        <f t="shared" si="9"/>
        <v>0</v>
      </c>
      <c r="G239" s="19"/>
    </row>
    <row r="240" spans="1:7" s="140" customFormat="1" ht="15.75" customHeight="1">
      <c r="A240" s="72">
        <v>46386</v>
      </c>
      <c r="B240" s="19" t="s">
        <v>463</v>
      </c>
      <c r="C240" s="24" t="s">
        <v>464</v>
      </c>
      <c r="D240" s="20">
        <v>1551</v>
      </c>
      <c r="E240" s="21"/>
      <c r="F240" s="145"/>
      <c r="G240" s="19"/>
    </row>
    <row r="241" spans="1:7" s="140" customFormat="1" ht="15.75" customHeight="1">
      <c r="A241" s="72">
        <v>46386</v>
      </c>
      <c r="B241" s="19" t="s">
        <v>36</v>
      </c>
      <c r="C241" s="24" t="s">
        <v>465</v>
      </c>
      <c r="D241" s="20"/>
      <c r="E241" s="21"/>
      <c r="F241" s="145"/>
      <c r="G241" s="19"/>
    </row>
    <row r="242" spans="1:7" s="140" customFormat="1" ht="15.75" customHeight="1">
      <c r="A242" s="19"/>
      <c r="B242" s="23"/>
      <c r="C242" s="20"/>
      <c r="D242" s="20"/>
      <c r="E242" s="21"/>
      <c r="F242" s="145">
        <f ca="1">AVERAGE(F2:F239)</f>
        <v>9.9158576745741106E-2</v>
      </c>
      <c r="G242" s="19"/>
    </row>
    <row r="243" spans="1:7" s="140" customFormat="1" ht="15.75" customHeight="1">
      <c r="A243" s="19"/>
      <c r="B243" s="106"/>
      <c r="C243" s="20"/>
      <c r="D243" s="20"/>
      <c r="E243" s="21"/>
      <c r="F243" s="145"/>
      <c r="G243" s="19"/>
    </row>
    <row r="244" spans="1:7" s="140" customFormat="1" ht="15.75" customHeight="1">
      <c r="A244" s="19"/>
      <c r="B244" s="23"/>
      <c r="C244" s="20"/>
      <c r="D244" s="20"/>
      <c r="E244" s="21"/>
      <c r="F244" s="145"/>
      <c r="G244" s="19"/>
    </row>
    <row r="245" spans="1:7" s="140" customFormat="1" ht="15.75" customHeight="1">
      <c r="A245" s="163"/>
      <c r="B245" s="23"/>
      <c r="C245" s="20"/>
      <c r="D245" s="20"/>
      <c r="E245" s="21"/>
      <c r="F245" s="145"/>
      <c r="G245" s="19"/>
    </row>
    <row r="246" spans="1:7" s="140" customFormat="1" ht="15.75" customHeight="1">
      <c r="A246" s="163"/>
      <c r="B246" s="23"/>
      <c r="C246" s="20"/>
      <c r="D246" s="20"/>
      <c r="E246" s="21"/>
      <c r="F246" s="145"/>
      <c r="G246" s="19"/>
    </row>
    <row r="247" spans="1:7" s="140" customFormat="1" ht="15.75" customHeight="1">
      <c r="A247" s="19"/>
      <c r="B247" s="23"/>
      <c r="C247" s="20"/>
      <c r="D247" s="20"/>
      <c r="E247" s="21"/>
      <c r="F247" s="145"/>
      <c r="G247" s="19"/>
    </row>
    <row r="248" spans="1:7" s="140" customFormat="1" ht="15.75" customHeight="1">
      <c r="A248" s="19"/>
      <c r="B248" s="23"/>
      <c r="C248" s="20"/>
      <c r="D248" s="20"/>
      <c r="E248" s="21"/>
      <c r="F248" s="145"/>
      <c r="G248" s="19"/>
    </row>
    <row r="249" spans="1:7" s="140" customFormat="1" ht="15.75" customHeight="1">
      <c r="A249" s="19"/>
      <c r="B249" s="23"/>
      <c r="C249" s="20"/>
      <c r="D249" s="20"/>
      <c r="E249" s="21"/>
      <c r="F249" s="145"/>
      <c r="G249" s="19"/>
    </row>
    <row r="250" spans="1:7" s="140" customFormat="1" ht="15.75" customHeight="1">
      <c r="A250" s="19"/>
      <c r="B250" s="23"/>
      <c r="C250" s="20"/>
      <c r="D250" s="20"/>
      <c r="E250" s="21"/>
      <c r="F250" s="145"/>
      <c r="G250" s="19"/>
    </row>
    <row r="251" spans="1:7" s="140" customFormat="1" ht="15.75" customHeight="1">
      <c r="A251" s="19"/>
      <c r="B251" s="23"/>
      <c r="C251" s="20"/>
      <c r="D251" s="20"/>
      <c r="E251" s="21"/>
      <c r="F251" s="145"/>
      <c r="G251" s="19"/>
    </row>
    <row r="252" spans="1:7" s="140" customFormat="1" ht="15.75" customHeight="1">
      <c r="A252" s="19"/>
      <c r="B252" s="23"/>
      <c r="C252" s="20"/>
      <c r="D252" s="20"/>
      <c r="E252" s="21"/>
      <c r="F252" s="146"/>
      <c r="G252" s="19"/>
    </row>
    <row r="253" spans="1:7" s="140" customFormat="1" ht="15.75" customHeight="1">
      <c r="A253" s="19"/>
      <c r="B253" s="23"/>
      <c r="C253" s="20"/>
      <c r="D253" s="20"/>
      <c r="E253" s="21"/>
      <c r="F253" s="146"/>
      <c r="G253" s="19"/>
    </row>
    <row r="254" spans="1:7" s="140" customFormat="1" ht="15.75" customHeight="1">
      <c r="A254" s="19"/>
      <c r="B254" s="23"/>
      <c r="C254" s="20"/>
      <c r="D254" s="20"/>
      <c r="E254" s="21"/>
      <c r="F254" s="146"/>
      <c r="G254" s="19"/>
    </row>
    <row r="255" spans="1:7" s="140" customFormat="1" ht="15.75" customHeight="1">
      <c r="A255" s="19"/>
      <c r="B255" s="106"/>
      <c r="C255" s="20"/>
      <c r="D255" s="20"/>
      <c r="E255" s="21"/>
      <c r="F255" s="146"/>
      <c r="G255" s="19"/>
    </row>
    <row r="256" spans="1:7" s="140" customFormat="1" ht="15.75" customHeight="1">
      <c r="A256" s="19"/>
      <c r="B256" s="23"/>
      <c r="C256" s="20"/>
      <c r="D256" s="20"/>
      <c r="E256" s="21"/>
      <c r="F256" s="146"/>
      <c r="G256" s="19"/>
    </row>
    <row r="257" spans="1:7" s="140" customFormat="1" ht="15.75" customHeight="1">
      <c r="A257" s="19"/>
      <c r="B257" s="23"/>
      <c r="C257" s="20"/>
      <c r="D257" s="20"/>
      <c r="E257" s="21"/>
      <c r="F257" s="146"/>
      <c r="G257" s="19"/>
    </row>
    <row r="258" spans="1:7" s="140" customFormat="1" ht="15.75" customHeight="1">
      <c r="A258" s="19"/>
      <c r="B258" s="23"/>
      <c r="C258" s="20"/>
      <c r="D258" s="20"/>
      <c r="E258" s="21"/>
      <c r="F258" s="146"/>
      <c r="G258" s="19"/>
    </row>
    <row r="259" spans="1:7" s="140" customFormat="1" ht="15.75" customHeight="1">
      <c r="A259" s="19"/>
      <c r="B259" s="23"/>
      <c r="C259" s="20"/>
      <c r="D259" s="20"/>
      <c r="E259" s="21"/>
      <c r="F259" s="146"/>
      <c r="G259" s="19"/>
    </row>
    <row r="260" spans="1:7" s="140" customFormat="1" ht="15.75" customHeight="1">
      <c r="A260" s="19"/>
      <c r="B260" s="23"/>
      <c r="C260" s="20"/>
      <c r="D260" s="20"/>
      <c r="E260" s="21"/>
      <c r="F260" s="146"/>
      <c r="G260" s="19"/>
    </row>
    <row r="261" spans="1:7" s="140" customFormat="1" ht="15.75" customHeight="1">
      <c r="A261" s="19"/>
      <c r="B261" s="23"/>
      <c r="C261" s="20"/>
      <c r="D261" s="20"/>
      <c r="E261" s="21"/>
      <c r="F261" s="146"/>
      <c r="G261" s="19"/>
    </row>
    <row r="262" spans="1:7" s="140" customFormat="1" ht="15.75" customHeight="1">
      <c r="A262" s="19"/>
      <c r="B262" s="23"/>
      <c r="C262" s="20"/>
      <c r="D262" s="20"/>
      <c r="E262" s="21"/>
      <c r="F262" s="146"/>
      <c r="G262" s="19"/>
    </row>
    <row r="263" spans="1:7" s="140" customFormat="1" ht="15.75" customHeight="1">
      <c r="A263" s="19"/>
      <c r="B263" s="23"/>
      <c r="C263" s="20"/>
      <c r="D263" s="20"/>
      <c r="E263" s="21"/>
      <c r="F263" s="146"/>
      <c r="G263" s="19"/>
    </row>
    <row r="264" spans="1:7" s="140" customFormat="1" ht="15.75" customHeight="1">
      <c r="A264" s="19"/>
      <c r="B264" s="23"/>
      <c r="C264" s="20"/>
      <c r="D264" s="20"/>
      <c r="E264" s="21"/>
      <c r="F264" s="146"/>
      <c r="G264" s="19"/>
    </row>
    <row r="265" spans="1:7" s="140" customFormat="1" ht="15.75" customHeight="1">
      <c r="A265" s="19"/>
      <c r="B265" s="106"/>
      <c r="C265" s="20"/>
      <c r="D265" s="20"/>
      <c r="E265" s="21"/>
      <c r="F265" s="146"/>
      <c r="G265" s="19"/>
    </row>
    <row r="266" spans="1:7" s="140" customFormat="1" ht="15.75" customHeight="1">
      <c r="A266" s="19"/>
      <c r="B266" s="23"/>
      <c r="C266" s="20"/>
      <c r="D266" s="20"/>
      <c r="E266" s="21"/>
      <c r="F266" s="146"/>
      <c r="G266" s="19"/>
    </row>
    <row r="267" spans="1:7" s="140" customFormat="1" ht="15.75" customHeight="1">
      <c r="A267" s="19"/>
      <c r="B267" s="23"/>
      <c r="C267" s="20"/>
      <c r="D267" s="20"/>
      <c r="E267" s="21"/>
      <c r="F267" s="146"/>
      <c r="G267" s="19"/>
    </row>
    <row r="268" spans="1:7" s="140" customFormat="1" ht="15.75" customHeight="1">
      <c r="A268" s="19"/>
      <c r="B268" s="23"/>
      <c r="C268" s="20"/>
      <c r="D268" s="20"/>
      <c r="E268" s="21"/>
      <c r="F268" s="146"/>
      <c r="G268" s="19"/>
    </row>
    <row r="269" spans="1:7" s="140" customFormat="1" ht="15.75" customHeight="1">
      <c r="A269" s="19"/>
      <c r="B269" s="23"/>
      <c r="C269" s="20"/>
      <c r="D269" s="20"/>
      <c r="E269" s="21"/>
      <c r="F269" s="146"/>
      <c r="G269" s="19"/>
    </row>
    <row r="270" spans="1:7" s="140" customFormat="1" ht="15.75" customHeight="1">
      <c r="A270" s="19"/>
      <c r="B270" s="23"/>
      <c r="C270" s="20"/>
      <c r="D270" s="20"/>
      <c r="E270" s="21"/>
      <c r="F270" s="146"/>
      <c r="G270" s="19"/>
    </row>
    <row r="271" spans="1:7" s="140" customFormat="1" ht="15.75" customHeight="1">
      <c r="A271" s="19"/>
      <c r="B271" s="23"/>
      <c r="C271" s="20"/>
      <c r="D271" s="20"/>
      <c r="E271" s="21"/>
      <c r="F271" s="146"/>
      <c r="G271" s="19"/>
    </row>
    <row r="272" spans="1:7" s="140" customFormat="1" ht="15.75" customHeight="1">
      <c r="A272" s="163"/>
      <c r="B272" s="23"/>
      <c r="C272" s="20"/>
      <c r="D272" s="20"/>
      <c r="E272" s="21"/>
      <c r="F272" s="146"/>
      <c r="G272" s="19"/>
    </row>
    <row r="273" spans="1:7" s="140" customFormat="1" ht="15.75" customHeight="1">
      <c r="A273" s="19"/>
      <c r="B273" s="23"/>
      <c r="C273" s="20"/>
      <c r="D273" s="20"/>
      <c r="E273" s="21"/>
      <c r="F273" s="146"/>
      <c r="G273" s="19"/>
    </row>
    <row r="274" spans="1:7" s="140" customFormat="1" ht="15.75" customHeight="1">
      <c r="A274" s="164"/>
      <c r="B274" s="23"/>
      <c r="C274" s="20"/>
      <c r="D274" s="20"/>
      <c r="E274" s="21"/>
      <c r="F274" s="146"/>
      <c r="G274" s="19"/>
    </row>
    <row r="275" spans="1:7" s="140" customFormat="1" ht="15.75" customHeight="1">
      <c r="A275" s="19"/>
      <c r="B275" s="23"/>
      <c r="C275" s="20"/>
      <c r="D275" s="20"/>
      <c r="E275" s="21"/>
      <c r="F275" s="146"/>
      <c r="G275" s="19"/>
    </row>
    <row r="276" spans="1:7" s="140" customFormat="1" ht="15.75" customHeight="1">
      <c r="A276" s="19"/>
      <c r="B276" s="23"/>
      <c r="C276" s="20"/>
      <c r="D276" s="20"/>
      <c r="E276" s="21"/>
      <c r="F276" s="146"/>
      <c r="G276" s="19"/>
    </row>
    <row r="277" spans="1:7" s="140" customFormat="1" ht="15.75" customHeight="1">
      <c r="A277" s="19"/>
      <c r="B277" s="23"/>
      <c r="C277" s="20"/>
      <c r="D277" s="20"/>
      <c r="E277" s="21"/>
      <c r="F277" s="146"/>
      <c r="G277" s="19"/>
    </row>
    <row r="278" spans="1:7" s="140" customFormat="1" ht="15.75" customHeight="1">
      <c r="A278" s="19"/>
      <c r="B278" s="23"/>
      <c r="C278" s="20"/>
      <c r="D278" s="20"/>
      <c r="E278" s="21"/>
      <c r="F278" s="146"/>
      <c r="G278" s="19"/>
    </row>
    <row r="279" spans="1:7" s="140" customFormat="1" ht="15.75" customHeight="1">
      <c r="A279" s="19"/>
      <c r="B279" s="23"/>
      <c r="C279" s="20"/>
      <c r="D279" s="20"/>
      <c r="E279" s="21"/>
      <c r="F279" s="146"/>
      <c r="G279" s="19"/>
    </row>
    <row r="280" spans="1:7" s="140" customFormat="1" ht="15.75" customHeight="1"/>
    <row r="281" spans="1:7" s="140" customFormat="1" ht="15.75" customHeight="1"/>
    <row r="282" spans="1:7" s="140" customFormat="1" ht="15.75" customHeight="1"/>
    <row r="283" spans="1:7" s="140" customFormat="1" ht="15.75" customHeight="1"/>
    <row r="284" spans="1:7" s="140" customFormat="1" ht="15.75" customHeight="1"/>
    <row r="285" spans="1:7" s="140" customFormat="1" ht="15.75" customHeight="1"/>
    <row r="286" spans="1:7" s="140" customFormat="1" ht="15.75" customHeight="1"/>
    <row r="287" spans="1:7" s="140" customFormat="1" ht="15.75" customHeight="1"/>
    <row r="288" spans="1:7" s="140" customFormat="1" ht="15.75" customHeight="1"/>
    <row r="289" s="140" customFormat="1" ht="15.75" customHeight="1"/>
    <row r="290" s="140" customFormat="1" ht="15.75" customHeight="1"/>
    <row r="291" s="140" customFormat="1" ht="15.75" customHeight="1"/>
    <row r="292" s="140" customFormat="1" ht="15.75" customHeight="1"/>
    <row r="293" s="140" customFormat="1" ht="15.75" customHeight="1"/>
    <row r="294" s="140" customFormat="1" ht="15.75" customHeight="1"/>
    <row r="295" s="140" customFormat="1" ht="15.75" customHeight="1"/>
    <row r="296" s="140" customFormat="1" ht="15.75" customHeight="1"/>
    <row r="297" s="140" customFormat="1" ht="15.75" customHeight="1"/>
    <row r="298" s="140" customFormat="1" ht="15.75" customHeight="1"/>
    <row r="299" s="140" customFormat="1" ht="15.75" customHeight="1"/>
    <row r="300" s="140" customFormat="1" ht="15.75" customHeight="1"/>
    <row r="301" s="140" customFormat="1" ht="15.75" customHeight="1"/>
    <row r="302" s="140" customFormat="1" ht="15.75" customHeight="1"/>
    <row r="303" s="140" customFormat="1" ht="15.75" customHeight="1"/>
    <row r="304" s="140" customFormat="1" ht="15.75" customHeight="1"/>
    <row r="305" s="140" customFormat="1" ht="15.75" customHeight="1"/>
    <row r="306" s="140" customFormat="1" ht="15.75" customHeight="1"/>
    <row r="307" s="140" customFormat="1" ht="15.75" customHeight="1"/>
    <row r="308" s="140" customFormat="1" ht="15.75" customHeight="1"/>
    <row r="309" s="140" customFormat="1" ht="15.75" customHeight="1"/>
    <row r="310" s="140" customFormat="1" ht="15.75" customHeight="1"/>
    <row r="311" s="140" customFormat="1" ht="15.75" customHeight="1"/>
    <row r="312" s="140" customFormat="1" ht="15.75" customHeight="1"/>
    <row r="313" s="140" customFormat="1" ht="15.75" customHeight="1"/>
    <row r="314" s="140" customFormat="1" ht="15.75" customHeight="1"/>
    <row r="315" s="140" customFormat="1" ht="15.75" customHeight="1"/>
    <row r="316" s="140" customFormat="1" ht="15.75" customHeight="1"/>
    <row r="317" s="140" customFormat="1" ht="15.75" customHeight="1"/>
    <row r="318" s="140" customFormat="1" ht="15.75" customHeight="1"/>
    <row r="319" s="140" customFormat="1" ht="15.75" customHeight="1"/>
    <row r="320" s="140" customFormat="1" ht="15.75" customHeight="1"/>
    <row r="321" s="140" customFormat="1" ht="15.75" customHeight="1"/>
    <row r="322" s="140" customFormat="1" ht="15.75" customHeight="1"/>
    <row r="323" s="140" customFormat="1" ht="15.75" customHeight="1"/>
    <row r="324" s="140" customFormat="1" ht="15.75" customHeight="1"/>
    <row r="325" s="140" customFormat="1" ht="15.75" customHeight="1"/>
    <row r="326" s="140" customFormat="1" ht="15.75" customHeight="1"/>
    <row r="327" s="140" customFormat="1" ht="15.75" customHeight="1"/>
    <row r="328" s="140" customFormat="1" ht="15.75" customHeight="1"/>
    <row r="329" s="140" customFormat="1" ht="15.75" customHeight="1"/>
    <row r="330" s="140" customFormat="1" ht="15.75" customHeight="1"/>
    <row r="331" s="140" customFormat="1" ht="15.75" customHeight="1"/>
    <row r="332" s="140" customFormat="1" ht="15.75" customHeight="1"/>
    <row r="333" s="140" customFormat="1" ht="15.75" customHeight="1"/>
    <row r="334" s="140" customFormat="1" ht="15.75" customHeight="1"/>
    <row r="335" s="140" customFormat="1" ht="15.75" customHeight="1"/>
    <row r="336" s="140" customFormat="1" ht="15.75" customHeight="1"/>
    <row r="337" s="140" customFormat="1" ht="15.75" customHeight="1"/>
    <row r="338" s="140" customFormat="1" ht="15.75" customHeight="1"/>
    <row r="339" s="140" customFormat="1" ht="15.75" customHeight="1"/>
    <row r="340" s="140" customFormat="1" ht="15.75" customHeight="1"/>
    <row r="341" s="140" customFormat="1" ht="15.75" customHeight="1"/>
    <row r="342" s="140" customFormat="1" ht="15.75" customHeight="1"/>
    <row r="343" s="140" customFormat="1" ht="15.75" customHeight="1"/>
    <row r="344" s="140" customFormat="1" ht="15.75" customHeight="1"/>
    <row r="345" s="140" customFormat="1" ht="15.75" customHeight="1"/>
    <row r="346" s="140" customFormat="1" ht="15.75" customHeight="1"/>
    <row r="347" s="140" customFormat="1" ht="15.75" customHeight="1"/>
    <row r="348" s="140" customFormat="1" ht="15.75" customHeight="1"/>
    <row r="349" s="140" customFormat="1" ht="15.75" customHeight="1"/>
    <row r="350" s="140" customFormat="1" ht="15.75" customHeight="1"/>
    <row r="351" s="140" customFormat="1" ht="15.75" customHeight="1"/>
    <row r="352" s="140" customFormat="1" ht="15.75" customHeight="1"/>
    <row r="353" s="140" customFormat="1" ht="15.75" customHeight="1"/>
    <row r="354" s="140" customFormat="1" ht="15.75" customHeight="1"/>
    <row r="355" s="140" customFormat="1" ht="15.75" customHeight="1"/>
    <row r="356" s="140" customFormat="1" ht="15.75" customHeight="1"/>
    <row r="357" s="140" customFormat="1" ht="15.75" customHeight="1"/>
    <row r="358" s="140" customFormat="1" ht="15.75" customHeight="1"/>
    <row r="359" s="140" customFormat="1" ht="15.75" customHeight="1"/>
    <row r="360" s="140" customFormat="1" ht="15.75" customHeight="1"/>
    <row r="361" s="140" customFormat="1" ht="15.75" customHeight="1"/>
    <row r="362" s="140" customFormat="1" ht="15.75" customHeight="1"/>
    <row r="363" s="140" customFormat="1" ht="15.75" customHeight="1"/>
    <row r="364" s="140" customFormat="1" ht="15.75" customHeight="1"/>
    <row r="365" s="140" customFormat="1" ht="15.75" customHeight="1"/>
    <row r="366" s="140" customFormat="1" ht="15.75" customHeight="1"/>
    <row r="367" s="140" customFormat="1" ht="15.75" customHeight="1"/>
    <row r="368" s="140" customFormat="1" ht="15.75" customHeight="1"/>
    <row r="369" s="140" customFormat="1" ht="15.75" customHeight="1"/>
    <row r="370" s="140" customFormat="1" ht="15.75" customHeight="1"/>
    <row r="371" s="140" customFormat="1" ht="15.75" customHeight="1"/>
    <row r="372" s="140" customFormat="1" ht="15.75" customHeight="1"/>
    <row r="373" s="140" customFormat="1" ht="15.75" customHeight="1"/>
    <row r="374" s="140" customFormat="1" ht="15.75" customHeight="1"/>
    <row r="375" s="140" customFormat="1" ht="15.75" customHeight="1"/>
    <row r="376" s="140" customFormat="1" ht="15.75" customHeight="1"/>
    <row r="377" s="140" customFormat="1" ht="15.75" customHeight="1"/>
    <row r="378" s="140" customFormat="1" ht="15.75" customHeight="1"/>
    <row r="379" s="140" customFormat="1" ht="15.75" customHeight="1"/>
    <row r="380" s="140" customFormat="1" ht="15.75" customHeight="1"/>
    <row r="381" s="140" customFormat="1" ht="15.75" customHeight="1"/>
    <row r="382" s="140" customFormat="1" ht="15.75" customHeight="1"/>
    <row r="383" s="140" customFormat="1" ht="15.75" customHeight="1"/>
    <row r="384" s="140" customFormat="1" ht="15.75" customHeight="1"/>
    <row r="385" s="140" customFormat="1" ht="15.75" customHeight="1"/>
    <row r="386" s="140" customFormat="1" ht="15.75" customHeight="1"/>
    <row r="387" s="140" customFormat="1" ht="15.75" customHeight="1"/>
    <row r="388" s="140" customFormat="1" ht="15.75" customHeight="1"/>
    <row r="389" s="140" customFormat="1" ht="15.75" customHeight="1"/>
    <row r="390" s="140" customFormat="1" ht="15.75" customHeight="1"/>
    <row r="391" s="140" customFormat="1" ht="15.75" customHeight="1"/>
    <row r="392" s="140" customFormat="1" ht="15.75" customHeight="1"/>
    <row r="393" s="140" customFormat="1" ht="15.75" customHeight="1"/>
    <row r="394" s="140" customFormat="1" ht="15.75" customHeight="1"/>
    <row r="395" s="140" customFormat="1" ht="15.75" customHeight="1"/>
    <row r="396" s="140" customFormat="1" ht="15.75" customHeight="1"/>
    <row r="397" s="140" customFormat="1" ht="15.75" customHeight="1"/>
    <row r="398" s="140" customFormat="1" ht="15.75" customHeight="1"/>
    <row r="399" s="140" customFormat="1" ht="15.75" customHeight="1"/>
    <row r="400" s="140" customFormat="1" ht="15.75" customHeight="1"/>
    <row r="401" s="140" customFormat="1" ht="15.75" customHeight="1"/>
    <row r="402" s="140" customFormat="1" ht="15.75" customHeight="1"/>
    <row r="403" s="140" customFormat="1" ht="15.75" customHeight="1"/>
    <row r="404" s="140" customFormat="1" ht="15.75" customHeight="1"/>
    <row r="405" s="140" customFormat="1" ht="15.75" customHeight="1"/>
    <row r="406" s="140" customFormat="1" ht="15.75" customHeight="1"/>
    <row r="407" s="140" customFormat="1" ht="15.75" customHeight="1"/>
    <row r="408" s="140" customFormat="1" ht="15.75" customHeight="1"/>
    <row r="409" s="140" customFormat="1" ht="15.75" customHeight="1"/>
    <row r="410" s="140" customFormat="1" ht="15.75" customHeight="1"/>
    <row r="411" s="140" customFormat="1" ht="15.75" customHeight="1"/>
    <row r="412" s="140" customFormat="1" ht="15.75" customHeight="1"/>
    <row r="413" s="140" customFormat="1" ht="15.75" customHeight="1"/>
    <row r="414" s="140" customFormat="1" ht="15.75" customHeight="1"/>
    <row r="415" s="140" customFormat="1" ht="15.75" customHeight="1"/>
    <row r="416" s="140" customFormat="1" ht="15.75" customHeight="1"/>
    <row r="417" s="140" customFormat="1" ht="15.75" customHeight="1"/>
    <row r="418" s="140" customFormat="1" ht="15.75" customHeight="1"/>
    <row r="419" s="140" customFormat="1" ht="15.75" customHeight="1"/>
    <row r="420" s="140" customFormat="1" ht="15.75" customHeight="1"/>
    <row r="421" s="140" customFormat="1" ht="15.75" customHeight="1"/>
    <row r="422" s="140" customFormat="1" ht="15.75" customHeight="1"/>
    <row r="423" s="140" customFormat="1" ht="15.75" customHeight="1"/>
    <row r="424" s="140" customFormat="1" ht="15.75" customHeight="1"/>
    <row r="425" s="140" customFormat="1" ht="15.75" customHeight="1"/>
    <row r="426" s="140" customFormat="1" ht="15.75" customHeight="1"/>
    <row r="427" s="140" customFormat="1" ht="15.75" customHeight="1"/>
    <row r="428" s="140" customFormat="1" ht="15.75" customHeight="1"/>
    <row r="429" s="140" customFormat="1" ht="15.75" customHeight="1"/>
    <row r="430" s="140" customFormat="1" ht="15.75" customHeight="1"/>
    <row r="431" s="140" customFormat="1" ht="15.75" customHeight="1"/>
    <row r="432" s="140" customFormat="1" ht="15.75" customHeight="1"/>
    <row r="433" s="140" customFormat="1" ht="15.75" customHeight="1"/>
    <row r="434" s="140" customFormat="1" ht="15.75" customHeight="1"/>
    <row r="435" s="140" customFormat="1" ht="15.75" customHeight="1"/>
    <row r="436" s="140" customFormat="1" ht="15.75" customHeight="1"/>
    <row r="437" s="140" customFormat="1" ht="15.75" customHeight="1"/>
    <row r="438" s="140" customFormat="1" ht="15.75" customHeight="1"/>
    <row r="439" s="140" customFormat="1" ht="15.75" customHeight="1"/>
    <row r="440" s="140" customFormat="1" ht="15.75" customHeight="1"/>
    <row r="441" s="140" customFormat="1" ht="15.75" customHeight="1"/>
    <row r="442" s="140" customFormat="1" ht="15.75" customHeight="1"/>
    <row r="443" s="140" customFormat="1" ht="15.75" customHeight="1"/>
    <row r="444" s="140" customFormat="1" ht="15.75" customHeight="1"/>
    <row r="445" s="140" customFormat="1" ht="15.75" customHeight="1"/>
    <row r="446" s="140" customFormat="1" ht="15.75" customHeight="1"/>
    <row r="447" s="140" customFormat="1" ht="15.75" customHeight="1"/>
    <row r="448" s="140" customFormat="1" ht="15.75" customHeight="1"/>
    <row r="449" s="140" customFormat="1" ht="15.75" customHeight="1"/>
    <row r="450" s="140" customFormat="1" ht="15.75" customHeight="1"/>
    <row r="451" s="140" customFormat="1" ht="15.75" customHeight="1"/>
    <row r="452" s="140" customFormat="1" ht="15.75" customHeight="1"/>
    <row r="453" s="140" customFormat="1" ht="15.75" customHeight="1"/>
    <row r="454" s="140" customFormat="1" ht="15.75" customHeight="1"/>
    <row r="455" s="140" customFormat="1" ht="15.75" customHeight="1"/>
    <row r="456" s="140" customFormat="1" ht="15.75" customHeight="1"/>
    <row r="457" s="140" customFormat="1" ht="15.75" customHeight="1"/>
    <row r="458" s="140" customFormat="1" ht="15.75" customHeight="1"/>
    <row r="459" s="140" customFormat="1" ht="15.75" customHeight="1"/>
    <row r="460" s="140" customFormat="1" ht="15.75" customHeight="1"/>
    <row r="461" s="140" customFormat="1" ht="15.75" customHeight="1"/>
    <row r="462" s="140" customFormat="1" ht="15.75" customHeight="1"/>
    <row r="463" s="140" customFormat="1" ht="15.75" customHeight="1"/>
    <row r="464" s="140" customFormat="1" ht="15.75" customHeight="1"/>
    <row r="465" s="140" customFormat="1" ht="15.75" customHeight="1"/>
    <row r="466" s="140" customFormat="1" ht="15.75" customHeight="1"/>
    <row r="467" s="140" customFormat="1" ht="15.75" customHeight="1"/>
    <row r="468" s="140" customFormat="1" ht="15.75" customHeight="1"/>
    <row r="469" s="140" customFormat="1" ht="15.75" customHeight="1"/>
    <row r="470" s="140" customFormat="1" ht="15.75" customHeight="1"/>
    <row r="471" s="140" customFormat="1" ht="15.75" customHeight="1"/>
    <row r="472" s="140" customFormat="1" ht="15.75" customHeight="1"/>
    <row r="473" s="140" customFormat="1" ht="15.75" customHeight="1"/>
    <row r="474" s="140" customFormat="1" ht="15.75" customHeight="1"/>
    <row r="475" s="140" customFormat="1" ht="15.75" customHeight="1"/>
    <row r="476" s="140" customFormat="1" ht="15.75" customHeight="1"/>
    <row r="477" s="140" customFormat="1" ht="15.75" customHeight="1"/>
    <row r="478" s="140" customFormat="1" ht="15.75" customHeight="1"/>
    <row r="479" s="140" customFormat="1" ht="15.75" customHeight="1"/>
    <row r="480" s="140" customFormat="1" ht="15.75" customHeight="1"/>
    <row r="481" s="140" customFormat="1" ht="15.75" customHeight="1"/>
    <row r="482" s="140" customFormat="1" ht="15.75" customHeight="1"/>
    <row r="483" s="140" customFormat="1" ht="15.75" customHeight="1"/>
    <row r="484" s="140" customFormat="1" ht="15.75" customHeight="1"/>
    <row r="485" s="140" customFormat="1" ht="15.75" customHeight="1"/>
    <row r="486" s="140" customFormat="1" ht="15.75" customHeight="1"/>
    <row r="487" s="140" customFormat="1" ht="15.75" customHeight="1"/>
    <row r="488" s="140" customFormat="1" ht="15.75" customHeight="1"/>
    <row r="489" s="140" customFormat="1" ht="15.75" customHeight="1"/>
    <row r="490" s="140" customFormat="1" ht="15.75" customHeight="1"/>
    <row r="491" s="140" customFormat="1" ht="15.75" customHeight="1"/>
    <row r="492" s="140" customFormat="1" ht="15.75" customHeight="1"/>
    <row r="493" s="140" customFormat="1" ht="15.75" customHeight="1"/>
    <row r="494" s="140" customFormat="1" ht="15.75" customHeight="1"/>
    <row r="495" s="140" customFormat="1" ht="15.75" customHeight="1"/>
    <row r="496" s="140" customFormat="1" ht="15.75" customHeight="1"/>
    <row r="497" s="140" customFormat="1" ht="15.75" customHeight="1"/>
    <row r="498" s="140" customFormat="1" ht="15.75" customHeight="1"/>
    <row r="499" s="140" customFormat="1" ht="15.75" customHeight="1"/>
    <row r="500" s="140" customFormat="1" ht="15.75" customHeight="1"/>
    <row r="501" s="140" customFormat="1" ht="15.75" customHeight="1"/>
    <row r="502" s="140" customFormat="1" ht="15.75" customHeight="1"/>
    <row r="503" s="140" customFormat="1" ht="15.75" customHeight="1"/>
    <row r="504" s="140" customFormat="1" ht="15.75" customHeight="1"/>
    <row r="505" s="140" customFormat="1" ht="15.75" customHeight="1"/>
    <row r="506" s="140" customFormat="1" ht="15.75" customHeight="1"/>
    <row r="507" s="140" customFormat="1" ht="15.75" customHeight="1"/>
    <row r="508" s="140" customFormat="1" ht="15.75" customHeight="1"/>
    <row r="509" s="140" customFormat="1" ht="15.75" customHeight="1"/>
    <row r="510" s="140" customFormat="1" ht="15.75" customHeight="1"/>
    <row r="511" s="140" customFormat="1" ht="15.75" customHeight="1"/>
    <row r="512" s="140" customFormat="1" ht="15.75" customHeight="1"/>
    <row r="513" s="140" customFormat="1" ht="15.75" customHeight="1"/>
    <row r="514" s="140" customFormat="1" ht="15.75" customHeight="1"/>
    <row r="515" s="140" customFormat="1" ht="15.75" customHeight="1"/>
    <row r="516" s="140" customFormat="1" ht="15.75" customHeight="1"/>
    <row r="517" s="140" customFormat="1" ht="15.75" customHeight="1"/>
    <row r="518" s="140" customFormat="1" ht="15.75" customHeight="1"/>
    <row r="519" s="140" customFormat="1" ht="15.75" customHeight="1"/>
    <row r="520" s="140" customFormat="1" ht="15.75" customHeight="1"/>
    <row r="521" s="140" customFormat="1" ht="15.75" customHeight="1"/>
    <row r="522" s="140" customFormat="1" ht="15.75" customHeight="1"/>
    <row r="523" s="140" customFormat="1" ht="15.75" customHeight="1"/>
    <row r="524" s="140" customFormat="1" ht="15.75" customHeight="1"/>
    <row r="525" s="140" customFormat="1" ht="15.75" customHeight="1"/>
    <row r="526" s="140" customFormat="1" ht="15.75" customHeight="1"/>
    <row r="527" s="140" customFormat="1" ht="15.75" customHeight="1"/>
    <row r="528" s="140" customFormat="1" ht="15.75" customHeight="1"/>
    <row r="529" s="140" customFormat="1" ht="15.75" customHeight="1"/>
    <row r="530" s="140" customFormat="1" ht="15.75" customHeight="1"/>
    <row r="531" s="140" customFormat="1" ht="15.75" customHeight="1"/>
    <row r="532" s="140" customFormat="1" ht="15.75" customHeight="1"/>
    <row r="533" s="140" customFormat="1" ht="15.75" customHeight="1"/>
    <row r="534" s="140" customFormat="1" ht="15.75" customHeight="1"/>
    <row r="535" s="140" customFormat="1" ht="15.75" customHeight="1"/>
    <row r="536" s="140" customFormat="1" ht="15.75" customHeight="1"/>
    <row r="537" s="140" customFormat="1" ht="15.75" customHeight="1"/>
    <row r="538" s="140" customFormat="1" ht="15.75" customHeight="1"/>
    <row r="539" s="140" customFormat="1" ht="15.75" customHeight="1"/>
    <row r="540" s="140" customFormat="1" ht="15.75" customHeight="1"/>
    <row r="541" s="140" customFormat="1" ht="15.75" customHeight="1"/>
    <row r="542" s="140" customFormat="1" ht="15.75" customHeight="1"/>
    <row r="543" s="140" customFormat="1" ht="15.75" customHeight="1"/>
    <row r="544" s="140" customFormat="1" ht="15.75" customHeight="1"/>
    <row r="545" s="140" customFormat="1" ht="15.75" customHeight="1"/>
    <row r="546" s="140" customFormat="1" ht="15.75" customHeight="1"/>
    <row r="547" s="140" customFormat="1" ht="15.75" customHeight="1"/>
    <row r="548" s="140" customFormat="1" ht="15.75" customHeight="1"/>
    <row r="549" s="140" customFormat="1" ht="15.75" customHeight="1"/>
    <row r="550" s="140" customFormat="1" ht="15.75" customHeight="1"/>
    <row r="551" s="140" customFormat="1" ht="15.75" customHeight="1"/>
    <row r="552" s="140" customFormat="1" ht="15.75" customHeight="1"/>
    <row r="553" s="140" customFormat="1" ht="15.75" customHeight="1"/>
    <row r="554" s="140" customFormat="1" ht="15.75" customHeight="1"/>
    <row r="555" s="140" customFormat="1" ht="15.75" customHeight="1"/>
    <row r="556" s="140" customFormat="1" ht="15.75" customHeight="1"/>
    <row r="557" s="140" customFormat="1" ht="15.75" customHeight="1"/>
    <row r="558" s="140" customFormat="1" ht="15.75" customHeight="1"/>
    <row r="559" s="140" customFormat="1" ht="15.75" customHeight="1"/>
    <row r="560" s="140" customFormat="1" ht="15.75" customHeight="1"/>
    <row r="561" s="140" customFormat="1" ht="15.75" customHeight="1"/>
    <row r="562" s="140" customFormat="1" ht="15.75" customHeight="1"/>
    <row r="563" s="140" customFormat="1" ht="15.75" customHeight="1"/>
    <row r="564" s="140" customFormat="1" ht="15.75" customHeight="1"/>
    <row r="565" s="140" customFormat="1" ht="15.75" customHeight="1"/>
    <row r="566" s="140" customFormat="1" ht="15.75" customHeight="1"/>
    <row r="567" s="140" customFormat="1" ht="15.75" customHeight="1"/>
    <row r="568" s="140" customFormat="1" ht="15.75" customHeight="1"/>
    <row r="569" s="140" customFormat="1" ht="15.75" customHeight="1"/>
    <row r="570" s="140" customFormat="1" ht="15.75" customHeight="1"/>
    <row r="571" s="140" customFormat="1" ht="15.75" customHeight="1"/>
    <row r="572" s="140" customFormat="1" ht="15.75" customHeight="1"/>
    <row r="573" s="140" customFormat="1" ht="15.75" customHeight="1"/>
    <row r="574" s="140" customFormat="1" ht="15.75" customHeight="1"/>
    <row r="575" s="140" customFormat="1" ht="15.75" customHeight="1"/>
    <row r="576" s="140" customFormat="1" ht="15.75" customHeight="1"/>
    <row r="577" s="140" customFormat="1" ht="15.75" customHeight="1"/>
    <row r="578" s="140" customFormat="1" ht="15.75" customHeight="1"/>
    <row r="579" s="140" customFormat="1" ht="15.75" customHeight="1"/>
    <row r="580" s="140" customFormat="1" ht="15.75" customHeight="1"/>
    <row r="581" s="140" customFormat="1" ht="15.75" customHeight="1"/>
    <row r="582" s="140" customFormat="1" ht="15.75" customHeight="1"/>
    <row r="583" s="140" customFormat="1" ht="15.75" customHeight="1"/>
    <row r="584" s="140" customFormat="1" ht="15.75" customHeight="1"/>
    <row r="585" s="140" customFormat="1" ht="15.75" customHeight="1"/>
    <row r="586" s="140" customFormat="1" ht="15.75" customHeight="1"/>
    <row r="587" s="140" customFormat="1" ht="15.75" customHeight="1"/>
    <row r="588" s="140" customFormat="1" ht="15.75" customHeight="1"/>
    <row r="589" s="140" customFormat="1" ht="15.75" customHeight="1"/>
    <row r="590" s="140" customFormat="1" ht="15.75" customHeight="1"/>
    <row r="591" s="140" customFormat="1" ht="15.75" customHeight="1"/>
    <row r="592" s="140" customFormat="1" ht="15.75" customHeight="1"/>
    <row r="593" s="140" customFormat="1" ht="15.75" customHeight="1"/>
    <row r="594" s="140" customFormat="1" ht="15.75" customHeight="1"/>
    <row r="595" s="140" customFormat="1" ht="15.75" customHeight="1"/>
    <row r="596" s="140" customFormat="1" ht="15.75" customHeight="1"/>
    <row r="597" s="140" customFormat="1" ht="15.75" customHeight="1"/>
    <row r="598" s="140" customFormat="1" ht="15.75" customHeight="1"/>
    <row r="599" s="140" customFormat="1" ht="15.75" customHeight="1"/>
    <row r="600" s="140" customFormat="1" ht="15.75" customHeight="1"/>
    <row r="601" s="140" customFormat="1" ht="15.75" customHeight="1"/>
    <row r="602" s="140" customFormat="1" ht="15.75" customHeight="1"/>
    <row r="603" s="140" customFormat="1" ht="15.75" customHeight="1"/>
    <row r="604" s="140" customFormat="1" ht="15.75" customHeight="1"/>
    <row r="605" s="140" customFormat="1" ht="15.75" customHeight="1"/>
    <row r="606" s="140" customFormat="1" ht="15.75" customHeight="1"/>
    <row r="607" s="140" customFormat="1" ht="15.75" customHeight="1"/>
    <row r="608" s="140" customFormat="1" ht="15.75" customHeight="1"/>
    <row r="609" s="140" customFormat="1" ht="15.75" customHeight="1"/>
    <row r="610" s="140" customFormat="1" ht="15.75" customHeight="1"/>
    <row r="611" s="140" customFormat="1" ht="15.75" customHeight="1"/>
    <row r="612" s="140" customFormat="1" ht="15.75" customHeight="1"/>
    <row r="613" s="140" customFormat="1" ht="15.75" customHeight="1"/>
    <row r="614" s="140" customFormat="1" ht="15.75" customHeight="1"/>
    <row r="615" s="140" customFormat="1" ht="15.75" customHeight="1"/>
    <row r="616" s="140" customFormat="1" ht="15.75" customHeight="1"/>
    <row r="617" s="140" customFormat="1" ht="15.75" customHeight="1"/>
    <row r="618" s="140" customFormat="1" ht="15.75" customHeight="1"/>
    <row r="619" s="140" customFormat="1" ht="15.75" customHeight="1"/>
    <row r="620" s="140" customFormat="1" ht="15.75" customHeight="1"/>
    <row r="621" s="140" customFormat="1" ht="15.75" customHeight="1"/>
    <row r="622" s="140" customFormat="1" ht="15.75" customHeight="1"/>
    <row r="623" s="140" customFormat="1" ht="15.75" customHeight="1"/>
    <row r="624" s="140" customFormat="1" ht="15.75" customHeight="1"/>
    <row r="625" s="140" customFormat="1" ht="15.75" customHeight="1"/>
    <row r="626" s="140" customFormat="1" ht="15.75" customHeight="1"/>
    <row r="627" s="140" customFormat="1" ht="15.75" customHeight="1"/>
    <row r="628" s="140" customFormat="1" ht="15.75" customHeight="1"/>
    <row r="629" s="140" customFormat="1" ht="15.75" customHeight="1"/>
    <row r="630" s="140" customFormat="1" ht="15.75" customHeight="1"/>
    <row r="631" s="140" customFormat="1" ht="15.75" customHeight="1"/>
    <row r="632" s="140" customFormat="1" ht="15.75" customHeight="1"/>
    <row r="633" s="140" customFormat="1" ht="15.75" customHeight="1"/>
    <row r="634" s="140" customFormat="1" ht="15.75" customHeight="1"/>
    <row r="635" s="140" customFormat="1" ht="15.75" customHeight="1"/>
    <row r="636" s="140" customFormat="1" ht="15.75" customHeight="1"/>
    <row r="637" s="140" customFormat="1" ht="15.75" customHeight="1"/>
    <row r="638" s="140" customFormat="1" ht="15.75" customHeight="1"/>
    <row r="639" s="140" customFormat="1" ht="15.75" customHeight="1"/>
    <row r="640" s="140" customFormat="1" ht="15.75" customHeight="1"/>
    <row r="641" s="140" customFormat="1" ht="15.75" customHeight="1"/>
    <row r="642" s="140" customFormat="1" ht="15.75" customHeight="1"/>
    <row r="643" s="140" customFormat="1" ht="15.75" customHeight="1"/>
    <row r="644" s="140" customFormat="1" ht="15.75" customHeight="1"/>
    <row r="645" s="140" customFormat="1" ht="15.75" customHeight="1"/>
    <row r="646" s="140" customFormat="1" ht="15.75" customHeight="1"/>
    <row r="647" s="140" customFormat="1" ht="15.75" customHeight="1"/>
    <row r="648" s="140" customFormat="1" ht="15.75" customHeight="1"/>
    <row r="649" s="140" customFormat="1" ht="15.75" customHeight="1"/>
    <row r="650" s="140" customFormat="1" ht="15.75" customHeight="1"/>
    <row r="651" s="140" customFormat="1" ht="15.75" customHeight="1"/>
    <row r="652" s="140" customFormat="1" ht="15.75" customHeight="1"/>
    <row r="653" s="140" customFormat="1" ht="15.75" customHeight="1"/>
    <row r="654" s="140" customFormat="1" ht="15.75" customHeight="1"/>
    <row r="655" s="140" customFormat="1" ht="15.75" customHeight="1"/>
    <row r="656" s="140" customFormat="1" ht="15.75" customHeight="1"/>
    <row r="657" s="140" customFormat="1" ht="15.75" customHeight="1"/>
    <row r="658" s="140" customFormat="1" ht="15.75" customHeight="1"/>
    <row r="659" s="140" customFormat="1" ht="15.75" customHeight="1"/>
    <row r="660" s="140" customFormat="1" ht="15.75" customHeight="1"/>
    <row r="661" s="140" customFormat="1" ht="15.75" customHeight="1"/>
    <row r="662" s="140" customFormat="1" ht="15.75" customHeight="1"/>
    <row r="663" s="140" customFormat="1" ht="15.75" customHeight="1"/>
    <row r="664" s="140" customFormat="1" ht="15.75" customHeight="1"/>
    <row r="665" s="140" customFormat="1" ht="15.75" customHeight="1"/>
    <row r="666" s="140" customFormat="1" ht="15.75" customHeight="1"/>
    <row r="667" s="140" customFormat="1" ht="15.75" customHeight="1"/>
    <row r="668" s="140" customFormat="1" ht="15.75" customHeight="1"/>
    <row r="669" s="140" customFormat="1" ht="15.75" customHeight="1"/>
    <row r="670" s="140" customFormat="1" ht="15.75" customHeight="1"/>
    <row r="671" s="140" customFormat="1" ht="15.75" customHeight="1"/>
    <row r="672" s="140" customFormat="1" ht="15.75" customHeight="1"/>
    <row r="673" s="140" customFormat="1" ht="15.75" customHeight="1"/>
    <row r="674" s="140" customFormat="1" ht="15.75" customHeight="1"/>
    <row r="675" s="140" customFormat="1" ht="15.75" customHeight="1"/>
    <row r="676" s="140" customFormat="1" ht="15.75" customHeight="1"/>
    <row r="677" s="140" customFormat="1" ht="15.75" customHeight="1"/>
    <row r="678" s="140" customFormat="1" ht="15.75" customHeight="1"/>
    <row r="679" s="140" customFormat="1" ht="15.75" customHeight="1"/>
    <row r="680" s="140" customFormat="1" ht="15.75" customHeight="1"/>
    <row r="681" s="140" customFormat="1" ht="15.75" customHeight="1"/>
    <row r="682" s="140" customFormat="1" ht="15.75" customHeight="1"/>
    <row r="683" s="140" customFormat="1" ht="15.75" customHeight="1"/>
    <row r="684" s="140" customFormat="1" ht="15.75" customHeight="1"/>
    <row r="685" s="140" customFormat="1" ht="15.75" customHeight="1"/>
    <row r="686" s="140" customFormat="1" ht="15.75" customHeight="1"/>
    <row r="687" s="140" customFormat="1" ht="15.75" customHeight="1"/>
    <row r="688" s="140" customFormat="1" ht="15.75" customHeight="1"/>
    <row r="689" s="140" customFormat="1" ht="15.75" customHeight="1"/>
    <row r="690" s="140" customFormat="1" ht="15.75" customHeight="1"/>
    <row r="691" s="140" customFormat="1" ht="15.75" customHeight="1"/>
    <row r="692" s="140" customFormat="1" ht="15.75" customHeight="1"/>
    <row r="693" s="140" customFormat="1" ht="15.75" customHeight="1"/>
    <row r="694" s="140" customFormat="1" ht="15.75" customHeight="1"/>
    <row r="695" s="140" customFormat="1" ht="15.75" customHeight="1"/>
    <row r="696" s="140" customFormat="1" ht="15.75" customHeight="1"/>
    <row r="697" s="140" customFormat="1" ht="15.75" customHeight="1"/>
    <row r="698" s="140" customFormat="1" ht="15.75" customHeight="1"/>
    <row r="699" s="140" customFormat="1" ht="15.75" customHeight="1"/>
    <row r="700" s="140" customFormat="1" ht="15.75" customHeight="1"/>
    <row r="701" s="140" customFormat="1" ht="15.75" customHeight="1"/>
    <row r="702" s="140" customFormat="1" ht="15.75" customHeight="1"/>
    <row r="703" s="140" customFormat="1" ht="15.75" customHeight="1"/>
    <row r="704" s="140" customFormat="1" ht="15.75" customHeight="1"/>
    <row r="705" s="140" customFormat="1" ht="15.75" customHeight="1"/>
    <row r="706" s="140" customFormat="1" ht="15.75" customHeight="1"/>
    <row r="707" s="140" customFormat="1" ht="15.75" customHeight="1"/>
    <row r="708" s="140" customFormat="1" ht="15.75" customHeight="1"/>
    <row r="709" s="140" customFormat="1" ht="15.75" customHeight="1"/>
    <row r="710" s="140" customFormat="1" ht="15.75" customHeight="1"/>
    <row r="711" s="140" customFormat="1" ht="15.75" customHeight="1"/>
    <row r="712" s="140" customFormat="1" ht="15.75" customHeight="1"/>
    <row r="713" s="140" customFormat="1" ht="15.75" customHeight="1"/>
    <row r="714" s="140" customFormat="1" ht="15.75" customHeight="1"/>
    <row r="715" s="140" customFormat="1" ht="15.75" customHeight="1"/>
    <row r="716" s="140" customFormat="1" ht="15.75" customHeight="1"/>
    <row r="717" s="140" customFormat="1" ht="15.75" customHeight="1"/>
    <row r="718" s="140" customFormat="1" ht="15.75" customHeight="1"/>
    <row r="719" s="140" customFormat="1" ht="15.75" customHeight="1"/>
    <row r="720" s="140" customFormat="1" ht="15.75" customHeight="1"/>
    <row r="721" s="140" customFormat="1" ht="15.75" customHeight="1"/>
    <row r="722" s="140" customFormat="1" ht="15.75" customHeight="1"/>
    <row r="723" s="140" customFormat="1" ht="15.75" customHeight="1"/>
    <row r="724" s="140" customFormat="1" ht="15.75" customHeight="1"/>
    <row r="725" s="140" customFormat="1" ht="15.75" customHeight="1"/>
    <row r="726" s="140" customFormat="1" ht="15.75" customHeight="1"/>
    <row r="727" s="140" customFormat="1" ht="15.75" customHeight="1"/>
    <row r="728" s="140" customFormat="1" ht="15.75" customHeight="1"/>
    <row r="729" s="140" customFormat="1" ht="15.75" customHeight="1"/>
    <row r="730" s="140" customFormat="1" ht="15.75" customHeight="1"/>
    <row r="731" s="140" customFormat="1" ht="15.75" customHeight="1"/>
    <row r="732" s="140" customFormat="1" ht="15.75" customHeight="1"/>
    <row r="733" s="140" customFormat="1" ht="15.75" customHeight="1"/>
    <row r="734" s="140" customFormat="1" ht="15.75" customHeight="1"/>
    <row r="735" s="140" customFormat="1" ht="15.75" customHeight="1"/>
    <row r="736" s="140" customFormat="1" ht="15.75" customHeight="1"/>
    <row r="737" s="140" customFormat="1" ht="15.75" customHeight="1"/>
    <row r="738" s="140" customFormat="1" ht="15.75" customHeight="1"/>
    <row r="739" s="140" customFormat="1" ht="15.75" customHeight="1"/>
    <row r="740" s="140" customFormat="1" ht="15.75" customHeight="1"/>
    <row r="741" s="140" customFormat="1" ht="15.75" customHeight="1"/>
    <row r="742" s="140" customFormat="1" ht="15.75" customHeight="1"/>
    <row r="743" s="140" customFormat="1" ht="15.75" customHeight="1"/>
    <row r="744" s="140" customFormat="1" ht="15.75" customHeight="1"/>
    <row r="745" s="140" customFormat="1" ht="15.75" customHeight="1"/>
    <row r="746" s="140" customFormat="1" ht="15.75" customHeight="1"/>
    <row r="747" s="140" customFormat="1" ht="15.75" customHeight="1"/>
    <row r="748" s="140" customFormat="1" ht="15.75" customHeight="1"/>
    <row r="749" s="140" customFormat="1" ht="15.75" customHeight="1"/>
    <row r="750" s="140" customFormat="1" ht="15.75" customHeight="1"/>
    <row r="751" s="140" customFormat="1" ht="15.75" customHeight="1"/>
    <row r="752" s="140" customFormat="1" ht="15.75" customHeight="1"/>
    <row r="753" s="140" customFormat="1" ht="15.75" customHeight="1"/>
    <row r="754" s="140" customFormat="1" ht="15.75" customHeight="1"/>
    <row r="755" s="140" customFormat="1" ht="15.75" customHeight="1"/>
    <row r="756" s="140" customFormat="1" ht="15.75" customHeight="1"/>
    <row r="757" s="140" customFormat="1" ht="15.75" customHeight="1"/>
    <row r="758" s="140" customFormat="1" ht="15.75" customHeight="1"/>
    <row r="759" s="140" customFormat="1" ht="15.75" customHeight="1"/>
    <row r="760" s="140" customFormat="1" ht="15.75" customHeight="1"/>
    <row r="761" s="140" customFormat="1" ht="15.75" customHeight="1"/>
    <row r="762" s="140" customFormat="1" ht="15.75" customHeight="1"/>
    <row r="763" s="140" customFormat="1" ht="15.75" customHeight="1"/>
    <row r="764" s="140" customFormat="1" ht="15.75" customHeight="1"/>
    <row r="765" s="140" customFormat="1" ht="15.75" customHeight="1"/>
    <row r="766" s="140" customFormat="1" ht="15.75" customHeight="1"/>
    <row r="767" s="140" customFormat="1" ht="15.75" customHeight="1"/>
    <row r="768" s="140" customFormat="1" ht="15.75" customHeight="1"/>
    <row r="769" s="140" customFormat="1" ht="15.75" customHeight="1"/>
    <row r="770" s="140" customFormat="1" ht="15.75" customHeight="1"/>
    <row r="771" s="140" customFormat="1" ht="15.75" customHeight="1"/>
    <row r="772" s="140" customFormat="1" ht="15.75" customHeight="1"/>
    <row r="773" s="140" customFormat="1" ht="15.75" customHeight="1"/>
    <row r="774" s="140" customFormat="1" ht="15.75" customHeight="1"/>
    <row r="775" s="140" customFormat="1" ht="15.75" customHeight="1"/>
    <row r="776" s="140" customFormat="1" ht="15.75" customHeight="1"/>
    <row r="777" s="140" customFormat="1" ht="15.75" customHeight="1"/>
    <row r="778" s="140" customFormat="1" ht="15.75" customHeight="1"/>
    <row r="779" s="140" customFormat="1" ht="15.75" customHeight="1"/>
    <row r="780" s="140" customFormat="1" ht="15.75" customHeight="1"/>
    <row r="781" s="140" customFormat="1" ht="15.75" customHeight="1"/>
    <row r="782" s="140" customFormat="1" ht="15.75" customHeight="1"/>
    <row r="783" s="140" customFormat="1" ht="15.75" customHeight="1"/>
    <row r="784" s="140" customFormat="1" ht="15.75" customHeight="1"/>
    <row r="785" s="140" customFormat="1" ht="15.75" customHeight="1"/>
    <row r="786" s="140" customFormat="1" ht="15.75" customHeight="1"/>
    <row r="787" s="140" customFormat="1" ht="15.75" customHeight="1"/>
    <row r="788" s="140" customFormat="1" ht="15.75" customHeight="1"/>
    <row r="789" s="140" customFormat="1" ht="15.75" customHeight="1"/>
    <row r="790" s="140" customFormat="1" ht="15.75" customHeight="1"/>
    <row r="791" s="140" customFormat="1" ht="15.75" customHeight="1"/>
    <row r="792" s="140" customFormat="1" ht="15.75" customHeight="1"/>
    <row r="793" s="140" customFormat="1" ht="15.75" customHeight="1"/>
    <row r="794" s="140" customFormat="1" ht="15.75" customHeight="1"/>
    <row r="795" s="140" customFormat="1" ht="15.75" customHeight="1"/>
    <row r="796" s="140" customFormat="1" ht="15.75" customHeight="1"/>
    <row r="797" s="140" customFormat="1" ht="15.75" customHeight="1"/>
    <row r="798" s="140" customFormat="1" ht="15.75" customHeight="1"/>
    <row r="799" s="140" customFormat="1" ht="15.75" customHeight="1"/>
    <row r="800" s="140" customFormat="1" ht="15.75" customHeight="1"/>
    <row r="801" s="140" customFormat="1" ht="15.75" customHeight="1"/>
    <row r="802" s="140" customFormat="1" ht="15.75" customHeight="1"/>
    <row r="803" s="140" customFormat="1" ht="15.75" customHeight="1"/>
    <row r="804" s="140" customFormat="1" ht="15.75" customHeight="1"/>
    <row r="805" s="140" customFormat="1" ht="15.75" customHeight="1"/>
    <row r="806" s="140" customFormat="1" ht="15.75" customHeight="1"/>
    <row r="807" s="140" customFormat="1" ht="15.75" customHeight="1"/>
    <row r="808" s="140" customFormat="1" ht="15.75" customHeight="1"/>
    <row r="809" s="140" customFormat="1" ht="15.75" customHeight="1"/>
    <row r="810" s="140" customFormat="1" ht="15.75" customHeight="1"/>
    <row r="811" s="140" customFormat="1" ht="15.75" customHeight="1"/>
    <row r="812" s="140" customFormat="1" ht="15.75" customHeight="1"/>
    <row r="813" s="140" customFormat="1" ht="15.75" customHeight="1"/>
    <row r="814" s="140" customFormat="1" ht="15.75" customHeight="1"/>
    <row r="815" s="140" customFormat="1" ht="15.75" customHeight="1"/>
    <row r="816" s="140" customFormat="1" ht="15.75" customHeight="1"/>
    <row r="817" s="140" customFormat="1" ht="15.75" customHeight="1"/>
    <row r="818" s="140" customFormat="1" ht="15.75" customHeight="1"/>
    <row r="819" s="140" customFormat="1" ht="15.75" customHeight="1"/>
    <row r="820" s="140" customFormat="1" ht="15.75" customHeight="1"/>
    <row r="821" s="140" customFormat="1" ht="15.75" customHeight="1"/>
    <row r="822" s="140" customFormat="1" ht="15.75" customHeight="1"/>
    <row r="823" s="140" customFormat="1" ht="15.75" customHeight="1"/>
    <row r="824" s="140" customFormat="1" ht="15.75" customHeight="1"/>
    <row r="825" s="140" customFormat="1" ht="15.75" customHeight="1"/>
    <row r="826" s="140" customFormat="1" ht="15.75" customHeight="1"/>
    <row r="827" s="140" customFormat="1" ht="15.75" customHeight="1"/>
    <row r="828" s="140" customFormat="1" ht="15.75" customHeight="1"/>
    <row r="829" s="140" customFormat="1" ht="15.75" customHeight="1"/>
    <row r="830" s="140" customFormat="1" ht="15.75" customHeight="1"/>
    <row r="831" s="140" customFormat="1" ht="15.75" customHeight="1"/>
    <row r="832" s="140" customFormat="1" ht="15.75" customHeight="1"/>
    <row r="833" s="140" customFormat="1" ht="15.75" customHeight="1"/>
    <row r="834" s="140" customFormat="1" ht="15.75" customHeight="1"/>
    <row r="835" s="140" customFormat="1" ht="15.75" customHeight="1"/>
    <row r="836" s="140" customFormat="1" ht="15.75" customHeight="1"/>
    <row r="837" s="140" customFormat="1" ht="15.75" customHeight="1"/>
    <row r="838" s="140" customFormat="1" ht="15.75" customHeight="1"/>
    <row r="839" s="140" customFormat="1" ht="15.75" customHeight="1"/>
    <row r="840" s="140" customFormat="1" ht="15.75" customHeight="1"/>
    <row r="841" s="140" customFormat="1" ht="15.75" customHeight="1"/>
    <row r="842" s="140" customFormat="1" ht="15.75" customHeight="1"/>
    <row r="843" s="140" customFormat="1" ht="15.75" customHeight="1"/>
    <row r="844" s="140" customFormat="1" ht="15.75" customHeight="1"/>
    <row r="845" s="140" customFormat="1" ht="15.75" customHeight="1"/>
    <row r="846" s="140" customFormat="1" ht="15.75" customHeight="1"/>
    <row r="847" s="140" customFormat="1" ht="15.75" customHeight="1"/>
    <row r="848" s="140" customFormat="1" ht="15.75" customHeight="1"/>
    <row r="849" s="140" customFormat="1" ht="15.75" customHeight="1"/>
    <row r="850" s="140" customFormat="1" ht="15.75" customHeight="1"/>
    <row r="851" s="140" customFormat="1" ht="15.75" customHeight="1"/>
    <row r="852" s="140" customFormat="1" ht="15.75" customHeight="1"/>
    <row r="853" s="140" customFormat="1" ht="15.75" customHeight="1"/>
    <row r="854" s="140" customFormat="1" ht="15.75" customHeight="1"/>
    <row r="855" s="140" customFormat="1" ht="15.75" customHeight="1"/>
    <row r="856" s="140" customFormat="1" ht="15.75" customHeight="1"/>
    <row r="857" s="140" customFormat="1" ht="15.75" customHeight="1"/>
    <row r="858" s="140" customFormat="1" ht="15.75" customHeight="1"/>
    <row r="859" s="140" customFormat="1" ht="15.75" customHeight="1"/>
    <row r="860" s="140" customFormat="1" ht="15.75" customHeight="1"/>
    <row r="861" s="140" customFormat="1" ht="15.75" customHeight="1"/>
    <row r="862" s="140" customFormat="1" ht="15.75" customHeight="1"/>
    <row r="863" s="140" customFormat="1" ht="15.75" customHeight="1"/>
    <row r="864" s="140" customFormat="1" ht="15.75" customHeight="1"/>
    <row r="865" s="140" customFormat="1" ht="15.75" customHeight="1"/>
    <row r="866" s="140" customFormat="1" ht="15.75" customHeight="1"/>
    <row r="867" s="140" customFormat="1" ht="15.75" customHeight="1"/>
    <row r="868" s="140" customFormat="1" ht="15.75" customHeight="1"/>
    <row r="869" s="140" customFormat="1" ht="15.75" customHeight="1"/>
    <row r="870" s="140" customFormat="1" ht="15.75" customHeight="1"/>
    <row r="871" s="140" customFormat="1" ht="15.75" customHeight="1"/>
    <row r="872" s="140" customFormat="1" ht="15.75" customHeight="1"/>
    <row r="873" s="140" customFormat="1" ht="15.75" customHeight="1"/>
    <row r="874" s="140" customFormat="1" ht="15.75" customHeight="1"/>
    <row r="875" s="140" customFormat="1" ht="15.75" customHeight="1"/>
    <row r="876" s="140" customFormat="1" ht="15.75" customHeight="1"/>
    <row r="877" s="140" customFormat="1" ht="15.75" customHeight="1"/>
    <row r="878" s="140" customFormat="1" ht="15.75" customHeight="1"/>
    <row r="879" s="140" customFormat="1" ht="15.75" customHeight="1"/>
    <row r="880" s="140" customFormat="1" ht="15.75" customHeight="1"/>
    <row r="881" s="140" customFormat="1" ht="15.75" customHeight="1"/>
    <row r="882" s="140" customFormat="1" ht="15.75" customHeight="1"/>
    <row r="883" s="140" customFormat="1" ht="15.75" customHeight="1"/>
    <row r="884" s="140" customFormat="1" ht="15.75" customHeight="1"/>
    <row r="885" s="140" customFormat="1" ht="15.75" customHeight="1"/>
    <row r="886" s="140" customFormat="1" ht="15.75" customHeight="1"/>
    <row r="887" s="140" customFormat="1" ht="15.75" customHeight="1"/>
    <row r="888" s="140" customFormat="1" ht="15.75" customHeight="1"/>
    <row r="889" s="140" customFormat="1" ht="15.75" customHeight="1"/>
    <row r="890" s="140" customFormat="1" ht="15.75" customHeight="1"/>
    <row r="891" s="140" customFormat="1" ht="15.75" customHeight="1"/>
    <row r="892" s="140" customFormat="1" ht="15.75" customHeight="1"/>
    <row r="893" s="140" customFormat="1" ht="15.75" customHeight="1"/>
    <row r="894" s="140" customFormat="1" ht="15.75" customHeight="1"/>
    <row r="895" s="140" customFormat="1" ht="15.75" customHeight="1"/>
    <row r="896" s="140" customFormat="1" ht="15.75" customHeight="1"/>
    <row r="897" s="140" customFormat="1" ht="15.75" customHeight="1"/>
    <row r="898" s="140" customFormat="1" ht="15.75" customHeight="1"/>
    <row r="899" s="140" customFormat="1" ht="15.75" customHeight="1"/>
    <row r="900" s="140" customFormat="1" ht="15.75" customHeight="1"/>
    <row r="901" s="140" customFormat="1" ht="15.75" customHeight="1"/>
    <row r="902" s="140" customFormat="1" ht="15.75" customHeight="1"/>
    <row r="903" s="140" customFormat="1" ht="15.75" customHeight="1"/>
    <row r="904" s="140" customFormat="1" ht="15.75" customHeight="1"/>
    <row r="905" s="140" customFormat="1" ht="15.75" customHeight="1"/>
    <row r="906" s="140" customFormat="1" ht="15.75" customHeight="1"/>
    <row r="907" s="140" customFormat="1" ht="15.75" customHeight="1"/>
    <row r="908" s="140" customFormat="1" ht="15.75" customHeight="1"/>
    <row r="909" s="140" customFormat="1" ht="15.75" customHeight="1"/>
    <row r="910" s="140" customFormat="1" ht="15.75" customHeight="1"/>
    <row r="911" s="140" customFormat="1" ht="15.75" customHeight="1"/>
    <row r="912" s="140" customFormat="1" ht="15.75" customHeight="1"/>
    <row r="913" s="140" customFormat="1" ht="15.75" customHeight="1"/>
    <row r="914" s="140" customFormat="1" ht="15.75" customHeight="1"/>
    <row r="915" s="140" customFormat="1" ht="15.75" customHeight="1"/>
    <row r="916" s="140" customFormat="1" ht="15.75" customHeight="1"/>
    <row r="917" s="140" customFormat="1" ht="15.75" customHeight="1"/>
    <row r="918" s="140" customFormat="1" ht="15.75" customHeight="1"/>
    <row r="919" s="140" customFormat="1" ht="15.75" customHeight="1"/>
    <row r="920" s="140" customFormat="1" ht="15.75" customHeight="1"/>
    <row r="921" s="140" customFormat="1" ht="15.75" customHeight="1"/>
    <row r="922" s="140" customFormat="1" ht="15.75" customHeight="1"/>
    <row r="923" s="140" customFormat="1" ht="15.75" customHeight="1"/>
    <row r="924" s="140" customFormat="1" ht="15.75" customHeight="1"/>
    <row r="925" s="140" customFormat="1" ht="15.75" customHeight="1"/>
    <row r="926" s="140" customFormat="1" ht="15.75" customHeight="1"/>
    <row r="927" s="140" customFormat="1" ht="15.75" customHeight="1"/>
    <row r="928" s="140" customFormat="1" ht="15.75" customHeight="1"/>
    <row r="929" s="140" customFormat="1" ht="15.75" customHeight="1"/>
    <row r="930" s="140" customFormat="1" ht="15.75" customHeight="1"/>
    <row r="931" s="140" customFormat="1" ht="15.75" customHeight="1"/>
    <row r="932" s="140" customFormat="1" ht="15.75" customHeight="1"/>
    <row r="933" s="140" customFormat="1" ht="15.75" customHeight="1"/>
    <row r="934" s="140" customFormat="1" ht="15.75" customHeight="1"/>
    <row r="935" s="140" customFormat="1" ht="15.75" customHeight="1"/>
    <row r="936" s="140" customFormat="1" ht="15.75" customHeight="1"/>
    <row r="937" s="140" customFormat="1" ht="15.75" customHeight="1"/>
    <row r="938" s="140" customFormat="1" ht="15.75" customHeight="1"/>
    <row r="939" s="140" customFormat="1" ht="15.75" customHeight="1"/>
    <row r="940" s="140" customFormat="1" ht="15.75" customHeight="1"/>
    <row r="941" s="140" customFormat="1" ht="15.75" customHeight="1"/>
    <row r="942" s="140" customFormat="1" ht="15.75" customHeight="1"/>
    <row r="943" s="140" customFormat="1" ht="15.75" customHeight="1"/>
    <row r="944" s="140" customFormat="1" ht="15.75" customHeight="1"/>
    <row r="945" s="140" customFormat="1" ht="15.75" customHeight="1"/>
    <row r="946" s="140" customFormat="1" ht="15.75" customHeight="1"/>
    <row r="947" s="140" customFormat="1" ht="15.75" customHeight="1"/>
    <row r="948" s="140" customFormat="1" ht="15.75" customHeight="1"/>
    <row r="949" s="140" customFormat="1" ht="15.75" customHeight="1"/>
    <row r="950" s="140" customFormat="1" ht="15.75" customHeight="1"/>
    <row r="951" s="140" customFormat="1" ht="15.75" customHeight="1"/>
    <row r="952" s="140" customFormat="1" ht="15.75" customHeight="1"/>
    <row r="953" s="140" customFormat="1" ht="15.75" customHeight="1"/>
    <row r="954" s="140" customFormat="1" ht="15.75" customHeight="1"/>
    <row r="955" s="140" customFormat="1" ht="15.75" customHeight="1"/>
    <row r="956" s="140" customFormat="1" ht="15.75" customHeight="1"/>
    <row r="957" s="140" customFormat="1" ht="15.75" customHeight="1"/>
    <row r="958" s="140" customFormat="1" ht="15.75" customHeight="1"/>
    <row r="959" s="140" customFormat="1" ht="15.75" customHeight="1"/>
    <row r="960" s="140" customFormat="1" ht="15.75" customHeight="1"/>
    <row r="961" s="140" customFormat="1" ht="15.75" customHeight="1"/>
    <row r="962" s="140" customFormat="1" ht="15.75" customHeight="1"/>
    <row r="963" s="140" customFormat="1" ht="15.75" customHeight="1"/>
    <row r="964" s="140" customFormat="1" ht="15.75" customHeight="1"/>
    <row r="965" s="140" customFormat="1" ht="15.75" customHeight="1"/>
    <row r="966" s="140" customFormat="1" ht="15.75" customHeight="1"/>
    <row r="967" s="140" customFormat="1" ht="15.75" customHeight="1"/>
    <row r="968" s="140" customFormat="1" ht="15.75" customHeight="1"/>
    <row r="969" s="140" customFormat="1" ht="15.75" customHeight="1"/>
    <row r="970" s="140" customFormat="1" ht="15.75" customHeight="1"/>
    <row r="971" s="140" customFormat="1" ht="15.75" customHeight="1"/>
    <row r="972" s="140" customFormat="1" ht="15.75" customHeight="1"/>
    <row r="973" s="140" customFormat="1" ht="15.75" customHeight="1"/>
    <row r="974" s="140" customFormat="1" ht="15.75" customHeight="1"/>
    <row r="975" s="140" customFormat="1" ht="15.75" customHeight="1"/>
    <row r="976" s="140" customFormat="1" ht="15.75" customHeight="1"/>
    <row r="977" s="140" customFormat="1" ht="15.75" customHeight="1"/>
    <row r="978" s="140" customFormat="1" ht="15.75" customHeight="1"/>
    <row r="979" s="140" customFormat="1" ht="15.75" customHeight="1"/>
    <row r="980" s="140" customFormat="1" ht="15.75" customHeight="1"/>
    <row r="981" s="140" customFormat="1" ht="15.75" customHeight="1"/>
    <row r="982" s="140" customFormat="1" ht="15.75" customHeight="1"/>
    <row r="983" s="140" customFormat="1" ht="15.75" customHeight="1"/>
    <row r="984" s="140" customFormat="1" ht="15.75" customHeight="1"/>
    <row r="985" s="140" customFormat="1" ht="15.75" customHeight="1"/>
    <row r="986" s="140" customFormat="1" ht="15.75" customHeight="1"/>
    <row r="987" s="140" customFormat="1" ht="15.75" customHeight="1"/>
    <row r="988" s="140" customFormat="1" ht="15.75" customHeight="1"/>
    <row r="989" s="140" customFormat="1" ht="15.75" customHeight="1"/>
    <row r="990" s="140" customFormat="1" ht="15.75" customHeight="1"/>
    <row r="991" s="140" customFormat="1" ht="15.75" customHeight="1"/>
    <row r="992" s="140" customFormat="1" ht="15.75" customHeight="1"/>
    <row r="993" s="140" customFormat="1" ht="15.75" customHeight="1"/>
    <row r="994" s="140" customFormat="1" ht="15.75" customHeight="1"/>
    <row r="995" s="140" customFormat="1" ht="15.75" customHeight="1"/>
    <row r="996" s="140" customFormat="1" ht="15.75" customHeight="1"/>
    <row r="997" s="140" customFormat="1" ht="15.75" customHeight="1"/>
    <row r="998" s="140" customFormat="1" ht="15.75" customHeight="1"/>
    <row r="999" s="140" customFormat="1" ht="15.75" customHeight="1"/>
    <row r="1000" s="140" customFormat="1" ht="15.75" customHeight="1"/>
    <row r="1001" s="140" customFormat="1" ht="15.75" customHeight="1"/>
    <row r="1002" s="140" customFormat="1" ht="15.75" customHeight="1"/>
    <row r="1003" s="140" customFormat="1" ht="15.75" customHeight="1"/>
    <row r="1004" s="140" customFormat="1" ht="15.75" customHeight="1"/>
    <row r="1005" s="140" customFormat="1" ht="15.75" customHeight="1"/>
    <row r="1006" s="140" customFormat="1" ht="15.75" customHeight="1"/>
    <row r="1007" s="140" customFormat="1" ht="15.75" customHeight="1"/>
    <row r="1008" s="140" customFormat="1" ht="15.75" customHeight="1"/>
    <row r="1009" s="140" customFormat="1" ht="15.75" customHeight="1"/>
    <row r="1010" s="140" customFormat="1" ht="15.75" customHeight="1"/>
    <row r="1011" s="140" customFormat="1" ht="15.75" customHeight="1"/>
    <row r="1012" s="140" customFormat="1" ht="15.75" customHeight="1"/>
    <row r="1013" s="140" customFormat="1" ht="15.75" customHeight="1"/>
    <row r="1014" s="140" customFormat="1" ht="15.75" customHeight="1"/>
    <row r="1015" s="140" customFormat="1" ht="15.75" customHeight="1"/>
    <row r="1016" s="140" customFormat="1" ht="15.75" customHeight="1"/>
    <row r="1017" s="140" customFormat="1" ht="15.75" customHeight="1"/>
    <row r="1018" s="140" customFormat="1" ht="15.75" customHeight="1"/>
    <row r="1019" s="140" customFormat="1" ht="15.75" customHeight="1"/>
    <row r="1020" s="140" customFormat="1" ht="15.75" customHeight="1"/>
    <row r="1021" s="140" customFormat="1" ht="15.75" customHeight="1"/>
    <row r="1022" s="140" customFormat="1" ht="15.75" customHeight="1"/>
    <row r="1023" s="140" customFormat="1" ht="15.75" customHeight="1"/>
    <row r="1024" s="140" customFormat="1" ht="15.75" customHeight="1"/>
    <row r="1025" s="140" customFormat="1" ht="15.75" customHeight="1"/>
    <row r="1026" s="140" customFormat="1" ht="15.75" customHeight="1"/>
    <row r="1027" s="140" customFormat="1" ht="15.75" customHeight="1"/>
    <row r="1028" s="140" customFormat="1" ht="15.75" customHeight="1"/>
    <row r="1029" s="140" customFormat="1" ht="15.75" customHeight="1"/>
    <row r="1030" s="140" customFormat="1" ht="15.75" customHeight="1"/>
    <row r="1031" s="140" customFormat="1" ht="15.75" customHeight="1"/>
    <row r="1032" s="140" customFormat="1" ht="15.75" customHeight="1"/>
    <row r="1033" s="140" customFormat="1" ht="15.75" customHeight="1"/>
    <row r="1034" s="140" customFormat="1" ht="15.75" customHeight="1"/>
  </sheetData>
  <conditionalFormatting sqref="F1:F1034">
    <cfRule type="cellIs" dxfId="2" priority="2" operator="greaterThan">
      <formula>0</formula>
    </cfRule>
    <cfRule type="cellIs" dxfId="1" priority="3" operator="lessThan">
      <formula>0</formula>
    </cfRule>
  </conditionalFormatting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7" r:id="rId75" xr:uid="{00000000-0004-0000-0200-00004A000000}"/>
    <hyperlink ref="C78" r:id="rId76" xr:uid="{00000000-0004-0000-0200-00004B000000}"/>
    <hyperlink ref="C79" r:id="rId77" xr:uid="{00000000-0004-0000-0200-00004C000000}"/>
    <hyperlink ref="C80" r:id="rId78" xr:uid="{00000000-0004-0000-0200-00004D000000}"/>
    <hyperlink ref="C81" r:id="rId79" xr:uid="{00000000-0004-0000-0200-00004E000000}"/>
    <hyperlink ref="C82" r:id="rId80" xr:uid="{00000000-0004-0000-0200-00004F000000}"/>
    <hyperlink ref="C83" r:id="rId81" xr:uid="{00000000-0004-0000-0200-000050000000}"/>
    <hyperlink ref="C84" r:id="rId82" xr:uid="{00000000-0004-0000-0200-000051000000}"/>
    <hyperlink ref="C86" r:id="rId83" xr:uid="{00000000-0004-0000-0200-000052000000}"/>
    <hyperlink ref="C87" r:id="rId84" xr:uid="{00000000-0004-0000-0200-000053000000}"/>
    <hyperlink ref="C88" r:id="rId85" xr:uid="{00000000-0004-0000-0200-000054000000}"/>
    <hyperlink ref="C89" r:id="rId86" xr:uid="{00000000-0004-0000-0200-000055000000}"/>
    <hyperlink ref="C90" r:id="rId87" xr:uid="{00000000-0004-0000-0200-000056000000}"/>
    <hyperlink ref="C91" r:id="rId88" xr:uid="{00000000-0004-0000-0200-000058000000}"/>
    <hyperlink ref="C92" r:id="rId89" xr:uid="{00000000-0004-0000-0200-000059000000}"/>
    <hyperlink ref="C93" r:id="rId90" xr:uid="{00000000-0004-0000-0200-00005A000000}"/>
    <hyperlink ref="C94" r:id="rId91" xr:uid="{00000000-0004-0000-0200-00005B000000}"/>
    <hyperlink ref="C95" r:id="rId92" xr:uid="{00000000-0004-0000-0200-00005C000000}"/>
    <hyperlink ref="C96" r:id="rId93" xr:uid="{00000000-0004-0000-0200-00005D000000}"/>
    <hyperlink ref="C97" r:id="rId94" xr:uid="{00000000-0004-0000-0200-00005E000000}"/>
    <hyperlink ref="C98" r:id="rId95" xr:uid="{00000000-0004-0000-0200-00005F000000}"/>
    <hyperlink ref="C99" r:id="rId96" xr:uid="{00000000-0004-0000-0200-000060000000}"/>
    <hyperlink ref="C100" r:id="rId97" xr:uid="{00000000-0004-0000-0200-000061000000}"/>
    <hyperlink ref="C101" r:id="rId98" xr:uid="{00000000-0004-0000-0200-000062000000}"/>
    <hyperlink ref="C102" r:id="rId99" xr:uid="{00000000-0004-0000-0200-000063000000}"/>
    <hyperlink ref="C103" r:id="rId100" xr:uid="{00000000-0004-0000-0200-000064000000}"/>
    <hyperlink ref="C104" r:id="rId101" xr:uid="{00000000-0004-0000-0200-000065000000}"/>
    <hyperlink ref="C105" r:id="rId102" xr:uid="{00000000-0004-0000-0200-000066000000}"/>
    <hyperlink ref="C106" r:id="rId103" xr:uid="{00000000-0004-0000-0200-000067000000}"/>
    <hyperlink ref="C107" r:id="rId104" xr:uid="{00000000-0004-0000-0200-000068000000}"/>
    <hyperlink ref="C108" r:id="rId105" xr:uid="{00000000-0004-0000-0200-000069000000}"/>
    <hyperlink ref="C109" r:id="rId106" xr:uid="{00000000-0004-0000-0200-00006A000000}"/>
    <hyperlink ref="C110" r:id="rId107" xr:uid="{00000000-0004-0000-0200-00006B000000}"/>
    <hyperlink ref="C111" r:id="rId108" xr:uid="{00000000-0004-0000-0200-00006C000000}"/>
    <hyperlink ref="C112" r:id="rId109" xr:uid="{00000000-0004-0000-0200-00006D000000}"/>
    <hyperlink ref="C113" r:id="rId110" xr:uid="{00000000-0004-0000-0200-00006E000000}"/>
    <hyperlink ref="C114" r:id="rId111" xr:uid="{00000000-0004-0000-0200-00006F000000}"/>
    <hyperlink ref="C115" r:id="rId112" xr:uid="{00000000-0004-0000-0200-000070000000}"/>
    <hyperlink ref="C116" r:id="rId113" xr:uid="{00000000-0004-0000-0200-000071000000}"/>
    <hyperlink ref="C117" r:id="rId114" xr:uid="{00000000-0004-0000-0200-000072000000}"/>
    <hyperlink ref="C119" r:id="rId115" xr:uid="{00000000-0004-0000-0200-000073000000}"/>
    <hyperlink ref="C120" r:id="rId116" xr:uid="{00000000-0004-0000-0200-000074000000}"/>
    <hyperlink ref="C121" r:id="rId117" xr:uid="{00000000-0004-0000-0200-000075000000}"/>
    <hyperlink ref="C122" r:id="rId118" xr:uid="{00000000-0004-0000-0200-000076000000}"/>
    <hyperlink ref="C123" r:id="rId119" xr:uid="{00000000-0004-0000-0200-000077000000}"/>
    <hyperlink ref="C124" r:id="rId120" xr:uid="{00000000-0004-0000-0200-000078000000}"/>
    <hyperlink ref="C125" r:id="rId121" xr:uid="{00000000-0004-0000-0200-000079000000}"/>
    <hyperlink ref="C126" r:id="rId122" xr:uid="{00000000-0004-0000-0200-00007A000000}"/>
    <hyperlink ref="C127" r:id="rId123" xr:uid="{00000000-0004-0000-0200-00007B000000}"/>
    <hyperlink ref="C128" r:id="rId124" xr:uid="{00000000-0004-0000-0200-00007C000000}"/>
    <hyperlink ref="C129" r:id="rId125" xr:uid="{00000000-0004-0000-0200-00007D000000}"/>
    <hyperlink ref="C130" r:id="rId126" xr:uid="{00000000-0004-0000-0200-00007E000000}"/>
    <hyperlink ref="C131" r:id="rId127" xr:uid="{00000000-0004-0000-0200-00007F000000}"/>
    <hyperlink ref="C132" r:id="rId128" xr:uid="{00000000-0004-0000-0200-000080000000}"/>
    <hyperlink ref="C133" r:id="rId129" xr:uid="{00000000-0004-0000-0200-000081000000}"/>
    <hyperlink ref="C134" r:id="rId130" xr:uid="{00000000-0004-0000-0200-000082000000}"/>
    <hyperlink ref="C135" r:id="rId131" xr:uid="{00000000-0004-0000-0200-000083000000}"/>
    <hyperlink ref="C136" r:id="rId132" xr:uid="{00000000-0004-0000-0200-000084000000}"/>
    <hyperlink ref="C137" r:id="rId133" xr:uid="{00000000-0004-0000-0200-000085000000}"/>
    <hyperlink ref="C138" r:id="rId134" xr:uid="{00000000-0004-0000-0200-000086000000}"/>
    <hyperlink ref="C139" r:id="rId135" xr:uid="{00000000-0004-0000-0200-000087000000}"/>
    <hyperlink ref="C140" r:id="rId136" xr:uid="{00000000-0004-0000-0200-000088000000}"/>
    <hyperlink ref="C141" r:id="rId137" xr:uid="{00000000-0004-0000-0200-000089000000}"/>
    <hyperlink ref="C142" r:id="rId138" xr:uid="{00000000-0004-0000-0200-00008A000000}"/>
    <hyperlink ref="C143" r:id="rId139" xr:uid="{00000000-0004-0000-0200-00008B000000}"/>
    <hyperlink ref="C144" r:id="rId140" xr:uid="{00000000-0004-0000-0200-00008C000000}"/>
    <hyperlink ref="C145" r:id="rId141" xr:uid="{00000000-0004-0000-0200-00008D000000}"/>
    <hyperlink ref="C146" r:id="rId142" xr:uid="{00000000-0004-0000-0200-00008E000000}"/>
    <hyperlink ref="C147" r:id="rId143" xr:uid="{00000000-0004-0000-0200-00008F000000}"/>
    <hyperlink ref="C148" r:id="rId144" xr:uid="{00000000-0004-0000-0200-000090000000}"/>
    <hyperlink ref="C149" r:id="rId145" xr:uid="{00000000-0004-0000-0200-000091000000}"/>
    <hyperlink ref="C150" r:id="rId146" xr:uid="{00000000-0004-0000-0200-000092000000}"/>
    <hyperlink ref="C151" r:id="rId147" xr:uid="{00000000-0004-0000-0200-000093000000}"/>
    <hyperlink ref="C152" r:id="rId148" xr:uid="{00000000-0004-0000-0200-000094000000}"/>
    <hyperlink ref="C153" r:id="rId149" xr:uid="{00000000-0004-0000-0200-000095000000}"/>
    <hyperlink ref="C154" r:id="rId150" xr:uid="{00000000-0004-0000-0200-000096000000}"/>
    <hyperlink ref="C155" r:id="rId151" xr:uid="{00000000-0004-0000-0200-000097000000}"/>
    <hyperlink ref="C156" r:id="rId152" xr:uid="{00000000-0004-0000-0200-000098000000}"/>
    <hyperlink ref="C157" r:id="rId153" xr:uid="{00000000-0004-0000-0200-000099000000}"/>
    <hyperlink ref="C158" r:id="rId154" xr:uid="{00000000-0004-0000-0200-00009A000000}"/>
    <hyperlink ref="C159" r:id="rId155" xr:uid="{00000000-0004-0000-0200-00009B000000}"/>
    <hyperlink ref="C160" r:id="rId156" xr:uid="{00000000-0004-0000-0200-00009C000000}"/>
    <hyperlink ref="C161" r:id="rId157" xr:uid="{00000000-0004-0000-0200-00009D000000}"/>
    <hyperlink ref="C162" r:id="rId158" xr:uid="{00000000-0004-0000-0200-00009E000000}"/>
    <hyperlink ref="C163" r:id="rId159" xr:uid="{00000000-0004-0000-0200-00009F000000}"/>
    <hyperlink ref="C164" r:id="rId160" xr:uid="{00000000-0004-0000-0200-0000A0000000}"/>
    <hyperlink ref="C165" r:id="rId161" xr:uid="{00000000-0004-0000-0200-0000A1000000}"/>
    <hyperlink ref="C166" r:id="rId162" xr:uid="{00000000-0004-0000-0200-0000A2000000}"/>
    <hyperlink ref="C167" r:id="rId163" xr:uid="{00000000-0004-0000-0200-0000A3000000}"/>
    <hyperlink ref="C168" r:id="rId164" xr:uid="{00000000-0004-0000-0200-0000A4000000}"/>
    <hyperlink ref="C169" r:id="rId165" xr:uid="{00000000-0004-0000-0200-0000A5000000}"/>
    <hyperlink ref="C170" r:id="rId166" xr:uid="{00000000-0004-0000-0200-0000A6000000}"/>
    <hyperlink ref="C171" r:id="rId167" xr:uid="{00000000-0004-0000-0200-0000A7000000}"/>
    <hyperlink ref="C172" r:id="rId168" xr:uid="{00000000-0004-0000-0200-0000A8000000}"/>
    <hyperlink ref="C173" r:id="rId169" xr:uid="{00000000-0004-0000-0200-0000A9000000}"/>
    <hyperlink ref="C174" r:id="rId170" xr:uid="{00000000-0004-0000-0200-0000AA000000}"/>
    <hyperlink ref="C175" r:id="rId171" xr:uid="{00000000-0004-0000-0200-0000AB000000}"/>
    <hyperlink ref="C176" r:id="rId172" xr:uid="{00000000-0004-0000-0200-0000AC000000}"/>
    <hyperlink ref="C177" r:id="rId173" xr:uid="{00000000-0004-0000-0200-0000AD000000}"/>
    <hyperlink ref="C178" r:id="rId174" xr:uid="{00000000-0004-0000-0200-0000AE000000}"/>
    <hyperlink ref="C179" r:id="rId175" xr:uid="{00000000-0004-0000-0200-0000AF000000}"/>
    <hyperlink ref="C180" r:id="rId176" xr:uid="{00000000-0004-0000-0200-0000B0000000}"/>
    <hyperlink ref="C181" r:id="rId177" xr:uid="{00000000-0004-0000-0200-0000B1000000}"/>
    <hyperlink ref="C182" r:id="rId178" xr:uid="{00000000-0004-0000-0200-0000B2000000}"/>
    <hyperlink ref="C183" r:id="rId179" xr:uid="{00000000-0004-0000-0200-0000B3000000}"/>
    <hyperlink ref="C184" r:id="rId180" xr:uid="{00000000-0004-0000-0200-0000B4000000}"/>
    <hyperlink ref="C185" r:id="rId181" xr:uid="{00000000-0004-0000-0200-0000B5000000}"/>
    <hyperlink ref="C186" r:id="rId182" xr:uid="{00000000-0004-0000-0200-0000B6000000}"/>
    <hyperlink ref="C187" r:id="rId183" xr:uid="{00000000-0004-0000-0200-0000B7000000}"/>
    <hyperlink ref="C188" r:id="rId184" xr:uid="{00000000-0004-0000-0200-0000B8000000}"/>
    <hyperlink ref="C190" r:id="rId185" xr:uid="{00000000-0004-0000-0200-0000B9000000}"/>
    <hyperlink ref="C191" r:id="rId186" xr:uid="{00000000-0004-0000-0200-0000BA000000}"/>
    <hyperlink ref="C192" r:id="rId187" xr:uid="{00000000-0004-0000-0200-0000BB000000}"/>
    <hyperlink ref="C193" r:id="rId188" xr:uid="{00000000-0004-0000-0200-0000BC000000}"/>
    <hyperlink ref="C194" r:id="rId189" xr:uid="{00000000-0004-0000-0200-0000BD000000}"/>
    <hyperlink ref="C195" r:id="rId190" xr:uid="{00000000-0004-0000-0200-0000BE000000}"/>
    <hyperlink ref="C196" r:id="rId191" xr:uid="{00000000-0004-0000-0200-0000BF000000}"/>
    <hyperlink ref="C197" r:id="rId192" xr:uid="{00000000-0004-0000-0200-0000C0000000}"/>
    <hyperlink ref="C198" r:id="rId193" xr:uid="{00000000-0004-0000-0200-0000C1000000}"/>
    <hyperlink ref="C199" r:id="rId194" xr:uid="{00000000-0004-0000-0200-0000C2000000}"/>
    <hyperlink ref="C200" r:id="rId195" xr:uid="{00000000-0004-0000-0200-0000C3000000}"/>
    <hyperlink ref="C201" r:id="rId196" xr:uid="{00000000-0004-0000-0200-0000C4000000}"/>
    <hyperlink ref="C202" r:id="rId197" xr:uid="{00000000-0004-0000-0200-0000C5000000}"/>
    <hyperlink ref="C203" r:id="rId198" xr:uid="{00000000-0004-0000-0200-0000C6000000}"/>
    <hyperlink ref="C204" r:id="rId199" xr:uid="{00000000-0004-0000-0200-0000C7000000}"/>
    <hyperlink ref="C206" r:id="rId200" xr:uid="{00000000-0004-0000-0200-0000C8000000}"/>
    <hyperlink ref="C207" r:id="rId201" xr:uid="{00000000-0004-0000-0200-0000C9000000}"/>
    <hyperlink ref="C208" r:id="rId202" xr:uid="{00000000-0004-0000-0200-0000CA000000}"/>
    <hyperlink ref="C209" r:id="rId203" xr:uid="{00000000-0004-0000-0200-0000CB000000}"/>
    <hyperlink ref="C210" r:id="rId204" xr:uid="{00000000-0004-0000-0200-0000CC000000}"/>
    <hyperlink ref="C211" r:id="rId205" xr:uid="{00000000-0004-0000-0200-0000CD000000}"/>
    <hyperlink ref="C212" r:id="rId206" xr:uid="{00000000-0004-0000-0200-0000CE000000}"/>
    <hyperlink ref="C213" r:id="rId207" xr:uid="{00000000-0004-0000-0200-0000CF000000}"/>
    <hyperlink ref="C214" r:id="rId208" xr:uid="{00000000-0004-0000-0200-0000D0000000}"/>
    <hyperlink ref="C215" r:id="rId209" xr:uid="{00000000-0004-0000-0200-0000D1000000}"/>
    <hyperlink ref="C216" r:id="rId210" xr:uid="{00000000-0004-0000-0200-0000D2000000}"/>
    <hyperlink ref="C217" r:id="rId211" xr:uid="{00000000-0004-0000-0200-0000D3000000}"/>
    <hyperlink ref="C218" r:id="rId212" xr:uid="{00000000-0004-0000-0200-0000D4000000}"/>
    <hyperlink ref="C219" r:id="rId213" xr:uid="{00000000-0004-0000-0200-0000D5000000}"/>
    <hyperlink ref="C220" r:id="rId214" xr:uid="{00000000-0004-0000-0200-0000D6000000}"/>
    <hyperlink ref="C221" r:id="rId215" xr:uid="{00000000-0004-0000-0200-0000D7000000}"/>
    <hyperlink ref="C222" r:id="rId216" xr:uid="{00000000-0004-0000-0200-0000D8000000}"/>
    <hyperlink ref="C223" r:id="rId217" xr:uid="{00000000-0004-0000-0200-0000D9000000}"/>
    <hyperlink ref="C224" r:id="rId218" xr:uid="{00000000-0004-0000-0200-0000DA000000}"/>
    <hyperlink ref="C225" r:id="rId219" xr:uid="{00000000-0004-0000-0200-0000DB000000}"/>
    <hyperlink ref="C226" r:id="rId220" xr:uid="{00000000-0004-0000-0200-0000DC000000}"/>
    <hyperlink ref="C227" r:id="rId221" xr:uid="{00000000-0004-0000-0200-0000DD000000}"/>
    <hyperlink ref="C228" r:id="rId222" xr:uid="{00000000-0004-0000-0200-0000DE000000}"/>
    <hyperlink ref="C229" r:id="rId223" xr:uid="{00000000-0004-0000-0200-0000DF000000}"/>
    <hyperlink ref="C230" r:id="rId224" xr:uid="{00000000-0004-0000-0200-0000E0000000}"/>
    <hyperlink ref="C231" r:id="rId225" xr:uid="{00000000-0004-0000-0200-0000E1000000}"/>
    <hyperlink ref="C232" r:id="rId226" xr:uid="{00000000-0004-0000-0200-0000E2000000}"/>
    <hyperlink ref="C233" r:id="rId227" xr:uid="{00000000-0004-0000-0200-0000E3000000}"/>
    <hyperlink ref="C234" r:id="rId228" xr:uid="{00000000-0004-0000-0200-0000E4000000}"/>
    <hyperlink ref="C235" r:id="rId229" xr:uid="{00000000-0004-0000-0200-0000E5000000}"/>
    <hyperlink ref="C236" r:id="rId230" xr:uid="{00000000-0004-0000-0200-0000E6000000}"/>
    <hyperlink ref="C237" r:id="rId231" xr:uid="{00000000-0004-0000-0200-0000E7000000}"/>
    <hyperlink ref="C238" r:id="rId232" xr:uid="{00000000-0004-0000-0200-0000E8000000}"/>
    <hyperlink ref="C239" r:id="rId233" xr:uid="{00000000-0004-0000-0200-0000E9000000}"/>
    <hyperlink ref="C240" r:id="rId234" xr:uid="{00000000-0004-0000-0200-0000EA000000}"/>
    <hyperlink ref="C241" r:id="rId235" xr:uid="{00000000-0004-0000-0200-0000E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>
      <selection sqref="A1:A4"/>
    </sheetView>
  </sheetViews>
  <sheetFormatPr defaultColWidth="12.5703125" defaultRowHeight="15" customHeight="1"/>
  <cols>
    <col min="1" max="1" width="21.42578125" customWidth="1"/>
    <col min="2" max="2" width="24.28515625" customWidth="1"/>
    <col min="3" max="6" width="12.5703125" customWidth="1"/>
  </cols>
  <sheetData>
    <row r="1" spans="1:11" ht="15.75" customHeight="1">
      <c r="A1" s="1"/>
      <c r="B1" s="2" t="s">
        <v>0</v>
      </c>
      <c r="C1" s="2" t="s">
        <v>466</v>
      </c>
      <c r="D1" s="2" t="s">
        <v>467</v>
      </c>
      <c r="E1" s="2"/>
      <c r="F1" s="2" t="s">
        <v>3</v>
      </c>
      <c r="G1" s="1"/>
      <c r="H1" s="1"/>
      <c r="I1" s="1"/>
      <c r="J1" s="1"/>
      <c r="K1" s="1"/>
    </row>
    <row r="2" spans="1:11" ht="15.75" customHeight="1">
      <c r="A2" s="107" t="s">
        <v>468</v>
      </c>
      <c r="B2" s="108">
        <v>45566</v>
      </c>
      <c r="C2" s="4">
        <v>674</v>
      </c>
      <c r="D2" s="5">
        <v>1020</v>
      </c>
      <c r="E2" s="5"/>
      <c r="F2" s="12">
        <f t="shared" ref="F2:F27" si="0">D2/C2-1</f>
        <v>0.51335311572700304</v>
      </c>
      <c r="G2" s="1"/>
      <c r="H2" s="1" t="s">
        <v>5</v>
      </c>
      <c r="I2" s="3">
        <f>COUNT(F2:F390)</f>
        <v>52</v>
      </c>
      <c r="J2" s="1"/>
      <c r="K2" s="1"/>
    </row>
    <row r="3" spans="1:11" ht="15.75" customHeight="1">
      <c r="A3" s="107" t="s">
        <v>469</v>
      </c>
      <c r="B3" s="109">
        <v>45593</v>
      </c>
      <c r="C3" s="4">
        <v>1456</v>
      </c>
      <c r="D3" s="5">
        <v>1593</v>
      </c>
      <c r="E3" s="5"/>
      <c r="F3" s="12">
        <f t="shared" si="0"/>
        <v>9.4093406593406703E-2</v>
      </c>
      <c r="G3" s="1"/>
      <c r="H3" s="1" t="s">
        <v>6</v>
      </c>
      <c r="I3" s="3">
        <f t="shared" ref="I3:I7" si="1">COUNTIF(F:F,H3)</f>
        <v>12</v>
      </c>
      <c r="J3" s="8">
        <f t="shared" ref="J3:J6" si="2">I3/$I$2</f>
        <v>0.23076923076923078</v>
      </c>
      <c r="K3" s="1"/>
    </row>
    <row r="4" spans="1:11" ht="15.75" customHeight="1">
      <c r="A4" s="107" t="s">
        <v>470</v>
      </c>
      <c r="B4" s="110">
        <v>45594</v>
      </c>
      <c r="C4" s="4">
        <v>2524</v>
      </c>
      <c r="D4" s="5">
        <v>2805</v>
      </c>
      <c r="E4" s="5"/>
      <c r="F4" s="12">
        <f t="shared" si="0"/>
        <v>0.11133122028526143</v>
      </c>
      <c r="G4" s="1"/>
      <c r="H4" s="1" t="s">
        <v>8</v>
      </c>
      <c r="I4" s="3">
        <f t="shared" si="1"/>
        <v>6</v>
      </c>
      <c r="J4" s="8">
        <f t="shared" si="2"/>
        <v>0.11538461538461539</v>
      </c>
      <c r="K4" s="1"/>
    </row>
    <row r="5" spans="1:11" ht="15.75" customHeight="1">
      <c r="A5" s="107" t="s">
        <v>471</v>
      </c>
      <c r="B5" s="109">
        <v>45595</v>
      </c>
      <c r="C5" s="4">
        <v>2790</v>
      </c>
      <c r="D5" s="5">
        <v>3136</v>
      </c>
      <c r="E5" s="5" t="s">
        <v>472</v>
      </c>
      <c r="F5" s="12">
        <f t="shared" si="0"/>
        <v>0.12401433691756281</v>
      </c>
      <c r="G5" s="1"/>
      <c r="H5" s="1" t="s">
        <v>9</v>
      </c>
      <c r="I5" s="3">
        <f t="shared" si="1"/>
        <v>4</v>
      </c>
      <c r="J5" s="8">
        <f t="shared" si="2"/>
        <v>7.6923076923076927E-2</v>
      </c>
      <c r="K5" s="1"/>
    </row>
    <row r="6" spans="1:11" ht="15.75" customHeight="1">
      <c r="A6" s="107" t="s">
        <v>473</v>
      </c>
      <c r="B6" s="109">
        <v>45594</v>
      </c>
      <c r="C6" s="4">
        <v>794</v>
      </c>
      <c r="D6" s="5">
        <v>859</v>
      </c>
      <c r="E6" s="5"/>
      <c r="F6" s="12">
        <f t="shared" si="0"/>
        <v>8.1863979848866508E-2</v>
      </c>
      <c r="G6" s="1"/>
      <c r="H6" s="9" t="s">
        <v>11</v>
      </c>
      <c r="I6" s="10">
        <f t="shared" si="1"/>
        <v>0</v>
      </c>
      <c r="J6" s="11">
        <f t="shared" si="2"/>
        <v>0</v>
      </c>
      <c r="K6" s="1"/>
    </row>
    <row r="7" spans="1:11" ht="15.75" customHeight="1">
      <c r="A7" s="107" t="s">
        <v>474</v>
      </c>
      <c r="B7" s="110">
        <v>45583</v>
      </c>
      <c r="C7" s="4">
        <v>3917</v>
      </c>
      <c r="D7" s="5">
        <v>4266</v>
      </c>
      <c r="E7" s="5"/>
      <c r="F7" s="12">
        <f t="shared" si="0"/>
        <v>8.9098800102118902E-2</v>
      </c>
      <c r="G7" s="1"/>
      <c r="H7" s="1" t="s">
        <v>12</v>
      </c>
      <c r="I7" s="3">
        <f t="shared" si="1"/>
        <v>8</v>
      </c>
      <c r="J7" s="1"/>
      <c r="K7" s="1"/>
    </row>
    <row r="8" spans="1:11" ht="15.75" customHeight="1">
      <c r="A8" s="107" t="s">
        <v>475</v>
      </c>
      <c r="B8" s="110">
        <v>45596</v>
      </c>
      <c r="C8" s="4">
        <v>314</v>
      </c>
      <c r="D8" s="5">
        <v>375</v>
      </c>
      <c r="E8" s="5"/>
      <c r="F8" s="12">
        <f t="shared" si="0"/>
        <v>0.19426751592356695</v>
      </c>
      <c r="G8" s="1"/>
      <c r="H8" s="1"/>
      <c r="I8" s="1"/>
      <c r="J8" s="13"/>
      <c r="K8" s="1"/>
    </row>
    <row r="9" spans="1:11" ht="15.75" customHeight="1">
      <c r="A9" s="107" t="s">
        <v>476</v>
      </c>
      <c r="B9" s="110">
        <v>45596</v>
      </c>
      <c r="C9" s="4">
        <v>539</v>
      </c>
      <c r="D9" s="5">
        <v>507</v>
      </c>
      <c r="E9" s="5"/>
      <c r="F9" s="12">
        <f t="shared" si="0"/>
        <v>-5.9369202226345119E-2</v>
      </c>
      <c r="G9" s="1"/>
      <c r="H9" s="1"/>
      <c r="I9" s="1"/>
      <c r="J9" s="1"/>
      <c r="K9" s="1"/>
    </row>
    <row r="10" spans="1:11" ht="15.75" customHeight="1">
      <c r="A10" s="107" t="s">
        <v>477</v>
      </c>
      <c r="B10" s="109">
        <v>45582</v>
      </c>
      <c r="C10" s="4">
        <v>216</v>
      </c>
      <c r="D10" s="5">
        <v>233</v>
      </c>
      <c r="E10" s="5"/>
      <c r="F10" s="12">
        <f t="shared" si="0"/>
        <v>7.870370370370372E-2</v>
      </c>
      <c r="G10" s="1"/>
      <c r="H10" s="1" t="s">
        <v>14</v>
      </c>
      <c r="I10" s="14">
        <f>(I2-I7)/I2</f>
        <v>0.84615384615384615</v>
      </c>
      <c r="J10" s="1"/>
      <c r="K10" s="1"/>
    </row>
    <row r="11" spans="1:11" ht="15.75" customHeight="1">
      <c r="A11" s="107" t="s">
        <v>478</v>
      </c>
      <c r="B11" s="110">
        <v>45463</v>
      </c>
      <c r="C11" s="4">
        <v>451</v>
      </c>
      <c r="D11" s="5">
        <v>808</v>
      </c>
      <c r="E11" s="5"/>
      <c r="F11" s="12">
        <f t="shared" si="0"/>
        <v>0.79157427937915736</v>
      </c>
      <c r="G11" s="1"/>
      <c r="H11" s="1"/>
      <c r="I11" s="1"/>
      <c r="J11" s="1"/>
      <c r="K11" s="1"/>
    </row>
    <row r="12" spans="1:11" ht="15.75" customHeight="1">
      <c r="A12" s="107" t="s">
        <v>479</v>
      </c>
      <c r="B12" s="110">
        <v>45512</v>
      </c>
      <c r="C12" s="4">
        <v>2895</v>
      </c>
      <c r="D12" s="5">
        <v>5059</v>
      </c>
      <c r="E12" s="5"/>
      <c r="F12" s="12">
        <f t="shared" si="0"/>
        <v>0.74749568221070817</v>
      </c>
      <c r="G12" s="1"/>
      <c r="H12" s="1"/>
      <c r="I12" s="1"/>
      <c r="J12" s="1"/>
      <c r="K12" s="1"/>
    </row>
    <row r="13" spans="1:11" ht="15.75" customHeight="1">
      <c r="A13" s="107" t="s">
        <v>480</v>
      </c>
      <c r="B13" s="110">
        <v>45596</v>
      </c>
      <c r="C13" s="4">
        <v>511</v>
      </c>
      <c r="D13" s="5">
        <v>568</v>
      </c>
      <c r="E13" s="5"/>
      <c r="F13" s="12">
        <f t="shared" si="0"/>
        <v>0.11154598825831696</v>
      </c>
      <c r="G13" s="1"/>
      <c r="H13" s="1"/>
      <c r="I13" s="1"/>
      <c r="J13" s="1"/>
      <c r="K13" s="1"/>
    </row>
    <row r="14" spans="1:11" ht="15.75" customHeight="1">
      <c r="A14" s="1" t="s">
        <v>481</v>
      </c>
      <c r="B14" s="23">
        <v>45595</v>
      </c>
      <c r="C14" s="20">
        <v>100</v>
      </c>
      <c r="D14" s="21">
        <v>119</v>
      </c>
      <c r="E14" s="21"/>
      <c r="F14" s="12">
        <f t="shared" si="0"/>
        <v>0.18999999999999995</v>
      </c>
      <c r="G14" s="1"/>
      <c r="H14" s="1"/>
      <c r="I14" s="1"/>
      <c r="J14" s="1"/>
      <c r="K14" s="1"/>
    </row>
    <row r="15" spans="1:11" ht="15.75" customHeight="1">
      <c r="A15" s="1" t="s">
        <v>482</v>
      </c>
      <c r="B15" s="23">
        <v>45596</v>
      </c>
      <c r="C15" s="20">
        <v>636</v>
      </c>
      <c r="D15" s="21">
        <v>800</v>
      </c>
      <c r="E15" s="21"/>
      <c r="F15" s="12">
        <f t="shared" si="0"/>
        <v>0.25786163522012573</v>
      </c>
      <c r="G15" s="1"/>
      <c r="H15" s="1"/>
      <c r="I15" s="1"/>
      <c r="J15" s="1"/>
      <c r="K15" s="1"/>
    </row>
    <row r="16" spans="1:11" ht="15.75" customHeight="1">
      <c r="A16" s="1" t="s">
        <v>483</v>
      </c>
      <c r="B16" s="23">
        <v>45595</v>
      </c>
      <c r="C16" s="20">
        <v>1746</v>
      </c>
      <c r="D16" s="21">
        <v>1761</v>
      </c>
      <c r="E16" s="21"/>
      <c r="F16" s="12">
        <f t="shared" si="0"/>
        <v>8.5910652920961894E-3</v>
      </c>
      <c r="G16" s="1"/>
      <c r="H16" s="1"/>
      <c r="I16" s="1"/>
      <c r="J16" s="1"/>
      <c r="K16" s="1"/>
    </row>
    <row r="17" spans="1:11" ht="15.75" customHeight="1">
      <c r="A17" s="1" t="s">
        <v>484</v>
      </c>
      <c r="B17" s="23">
        <v>45595</v>
      </c>
      <c r="C17" s="20">
        <v>213</v>
      </c>
      <c r="D17" s="21">
        <v>227</v>
      </c>
      <c r="E17" s="21"/>
      <c r="F17" s="12">
        <f t="shared" si="0"/>
        <v>6.5727699530516492E-2</v>
      </c>
      <c r="G17" s="1"/>
      <c r="H17" s="1"/>
      <c r="I17" s="1"/>
      <c r="J17" s="1"/>
      <c r="K17" s="1"/>
    </row>
    <row r="18" spans="1:11" ht="15.75" customHeight="1">
      <c r="A18" s="1" t="s">
        <v>485</v>
      </c>
      <c r="B18" s="23">
        <v>45594</v>
      </c>
      <c r="C18" s="20">
        <v>1181</v>
      </c>
      <c r="D18" s="21">
        <v>1071</v>
      </c>
      <c r="E18" s="21"/>
      <c r="F18" s="6">
        <f t="shared" si="0"/>
        <v>-9.3141405588484383E-2</v>
      </c>
      <c r="G18" s="1"/>
      <c r="H18" s="1"/>
      <c r="I18" s="1"/>
      <c r="J18" s="1"/>
      <c r="K18" s="1"/>
    </row>
    <row r="19" spans="1:11" ht="15.75" customHeight="1">
      <c r="A19" s="1" t="s">
        <v>486</v>
      </c>
      <c r="B19" s="23">
        <v>45593</v>
      </c>
      <c r="C19" s="20">
        <v>1744</v>
      </c>
      <c r="D19" s="21">
        <v>2107</v>
      </c>
      <c r="E19" s="21"/>
      <c r="F19" s="12">
        <f t="shared" si="0"/>
        <v>0.20814220183486243</v>
      </c>
      <c r="G19" s="1"/>
      <c r="H19" s="1"/>
      <c r="I19" s="1"/>
      <c r="J19" s="1"/>
      <c r="K19" s="1"/>
    </row>
    <row r="20" spans="1:11" ht="15.75" customHeight="1">
      <c r="A20" s="1" t="s">
        <v>487</v>
      </c>
      <c r="B20" s="106">
        <v>45593</v>
      </c>
      <c r="C20" s="20">
        <v>4451</v>
      </c>
      <c r="D20" s="21">
        <v>4822</v>
      </c>
      <c r="E20" s="21"/>
      <c r="F20" s="12">
        <f t="shared" si="0"/>
        <v>8.3352055717816231E-2</v>
      </c>
      <c r="G20" s="1"/>
      <c r="H20" s="1"/>
      <c r="I20" s="1"/>
      <c r="J20" s="1"/>
      <c r="K20" s="1"/>
    </row>
    <row r="21" spans="1:11" ht="15.75" customHeight="1">
      <c r="A21" s="1" t="s">
        <v>488</v>
      </c>
      <c r="B21" s="23">
        <v>45581</v>
      </c>
      <c r="C21" s="20">
        <v>1422</v>
      </c>
      <c r="D21" s="21">
        <v>1627</v>
      </c>
      <c r="E21" s="21"/>
      <c r="F21" s="12">
        <f t="shared" si="0"/>
        <v>0.14416315049226447</v>
      </c>
      <c r="G21" s="1"/>
      <c r="H21" s="1"/>
      <c r="I21" s="1"/>
      <c r="J21" s="1"/>
      <c r="K21" s="1"/>
    </row>
    <row r="22" spans="1:11" ht="15.75" customHeight="1">
      <c r="A22" s="1" t="s">
        <v>489</v>
      </c>
      <c r="B22" s="106">
        <v>45589</v>
      </c>
      <c r="C22" s="20">
        <v>113</v>
      </c>
      <c r="D22" s="21">
        <v>147</v>
      </c>
      <c r="E22" s="21"/>
      <c r="F22" s="12">
        <f t="shared" si="0"/>
        <v>0.30088495575221241</v>
      </c>
      <c r="G22" s="1"/>
      <c r="H22" s="1"/>
      <c r="I22" s="1"/>
      <c r="J22" s="1"/>
      <c r="K22" s="1"/>
    </row>
    <row r="23" spans="1:11" ht="15.75" customHeight="1">
      <c r="A23" s="1" t="s">
        <v>490</v>
      </c>
      <c r="B23" s="106">
        <v>45590</v>
      </c>
      <c r="C23" s="20">
        <v>2325</v>
      </c>
      <c r="D23" s="21">
        <v>3900</v>
      </c>
      <c r="E23" s="21"/>
      <c r="F23" s="12">
        <f t="shared" si="0"/>
        <v>0.67741935483870974</v>
      </c>
      <c r="G23" s="1"/>
      <c r="H23" s="1"/>
      <c r="I23" s="1"/>
      <c r="J23" s="1"/>
      <c r="K23" s="1"/>
    </row>
    <row r="24" spans="1:11" ht="15.75" customHeight="1">
      <c r="A24" s="1" t="s">
        <v>491</v>
      </c>
      <c r="B24" s="106">
        <v>45594</v>
      </c>
      <c r="C24" s="20">
        <v>773</v>
      </c>
      <c r="D24" s="21">
        <v>800</v>
      </c>
      <c r="E24" s="21"/>
      <c r="F24" s="12">
        <f t="shared" si="0"/>
        <v>3.4928848641655907E-2</v>
      </c>
      <c r="G24" s="1"/>
      <c r="H24" s="1"/>
      <c r="I24" s="1"/>
      <c r="J24" s="1"/>
      <c r="K24" s="1"/>
    </row>
    <row r="25" spans="1:11" ht="15.75" customHeight="1">
      <c r="A25" s="1" t="s">
        <v>492</v>
      </c>
      <c r="B25" s="23">
        <v>45596</v>
      </c>
      <c r="C25" s="20">
        <v>1334</v>
      </c>
      <c r="D25" s="21">
        <v>1438</v>
      </c>
      <c r="E25" s="21"/>
      <c r="F25" s="12">
        <f t="shared" si="0"/>
        <v>7.7961019490254913E-2</v>
      </c>
      <c r="G25" s="1"/>
      <c r="H25" s="1"/>
      <c r="I25" s="1"/>
      <c r="J25" s="1"/>
      <c r="K25" s="1"/>
    </row>
    <row r="26" spans="1:11" ht="15.75" customHeight="1">
      <c r="A26" s="1" t="s">
        <v>493</v>
      </c>
      <c r="B26" s="23">
        <v>45596</v>
      </c>
      <c r="C26" s="20">
        <v>505</v>
      </c>
      <c r="D26" s="21">
        <v>540</v>
      </c>
      <c r="E26" s="21"/>
      <c r="F26" s="12">
        <f t="shared" si="0"/>
        <v>6.9306930693069368E-2</v>
      </c>
      <c r="G26" s="1"/>
      <c r="H26" s="1"/>
      <c r="I26" s="1"/>
      <c r="J26" s="1"/>
      <c r="K26" s="1"/>
    </row>
    <row r="27" spans="1:11" ht="15.75" customHeight="1">
      <c r="A27" s="1" t="s">
        <v>494</v>
      </c>
      <c r="B27" s="23">
        <v>45596</v>
      </c>
      <c r="C27" s="20">
        <v>1209</v>
      </c>
      <c r="D27" s="21">
        <v>1310</v>
      </c>
      <c r="E27" s="21"/>
      <c r="F27" s="12">
        <f t="shared" si="0"/>
        <v>8.3540115798180326E-2</v>
      </c>
      <c r="G27" s="1"/>
      <c r="H27" s="1"/>
      <c r="I27" s="1"/>
      <c r="J27" s="1"/>
      <c r="K27" s="1"/>
    </row>
    <row r="28" spans="1:11" ht="15.75" customHeight="1">
      <c r="A28" s="111"/>
      <c r="B28" s="112" t="s">
        <v>495</v>
      </c>
      <c r="C28" s="113"/>
      <c r="D28" s="114"/>
      <c r="E28" s="21"/>
      <c r="F28" s="12"/>
      <c r="G28" s="1"/>
      <c r="H28" s="1"/>
      <c r="I28" s="1"/>
      <c r="J28" s="1"/>
      <c r="K28" s="1"/>
    </row>
    <row r="29" spans="1:11" ht="15.75" customHeight="1">
      <c r="A29" s="1" t="s">
        <v>496</v>
      </c>
      <c r="B29" s="23">
        <v>45600</v>
      </c>
      <c r="C29" s="20">
        <v>7109</v>
      </c>
      <c r="D29" s="21">
        <v>7945</v>
      </c>
      <c r="E29" s="21"/>
      <c r="F29" s="12">
        <f t="shared" ref="F29:F54" si="3">D29/C29-1</f>
        <v>0.11759741173160787</v>
      </c>
      <c r="G29" s="1"/>
      <c r="H29" s="1"/>
      <c r="I29" s="1"/>
      <c r="J29" s="1"/>
      <c r="K29" s="1"/>
    </row>
    <row r="30" spans="1:11" ht="15.75" customHeight="1">
      <c r="A30" s="1" t="s">
        <v>497</v>
      </c>
      <c r="B30" s="23">
        <v>45600</v>
      </c>
      <c r="C30" s="20">
        <v>2817</v>
      </c>
      <c r="D30" s="21">
        <v>2974</v>
      </c>
      <c r="E30" s="21"/>
      <c r="F30" s="12">
        <f t="shared" si="3"/>
        <v>5.5733049343273056E-2</v>
      </c>
      <c r="G30" s="1"/>
      <c r="H30" s="1"/>
      <c r="I30" s="1"/>
      <c r="J30" s="1"/>
      <c r="K30" s="1"/>
    </row>
    <row r="31" spans="1:11" ht="15.75" customHeight="1">
      <c r="A31" s="1" t="s">
        <v>498</v>
      </c>
      <c r="B31" s="23">
        <v>45604</v>
      </c>
      <c r="C31" s="20">
        <v>330</v>
      </c>
      <c r="D31" s="21">
        <v>360</v>
      </c>
      <c r="E31" s="21"/>
      <c r="F31" s="12">
        <f t="shared" si="3"/>
        <v>9.0909090909090828E-2</v>
      </c>
      <c r="G31" s="1"/>
      <c r="H31" s="1"/>
      <c r="I31" s="1"/>
      <c r="J31" s="1"/>
      <c r="K31" s="1"/>
    </row>
    <row r="32" spans="1:11" ht="15.75" customHeight="1">
      <c r="A32" s="1" t="s">
        <v>499</v>
      </c>
      <c r="B32" s="23">
        <v>45604</v>
      </c>
      <c r="C32" s="20">
        <v>724</v>
      </c>
      <c r="D32" s="21">
        <v>854</v>
      </c>
      <c r="E32" s="21"/>
      <c r="F32" s="12">
        <f t="shared" si="3"/>
        <v>0.17955801104972369</v>
      </c>
      <c r="G32" s="1"/>
      <c r="H32" s="1"/>
      <c r="I32" s="1"/>
      <c r="J32" s="1"/>
      <c r="K32" s="1"/>
    </row>
    <row r="33" spans="1:11" ht="15.75" customHeight="1">
      <c r="A33" s="1" t="s">
        <v>496</v>
      </c>
      <c r="B33" s="23">
        <v>45604</v>
      </c>
      <c r="C33" s="20">
        <v>7104</v>
      </c>
      <c r="D33" s="21">
        <v>7242</v>
      </c>
      <c r="E33" s="21"/>
      <c r="F33" s="12">
        <f t="shared" si="3"/>
        <v>1.9425675675675658E-2</v>
      </c>
      <c r="G33" s="1"/>
      <c r="H33" s="1"/>
      <c r="I33" s="1"/>
      <c r="J33" s="1"/>
      <c r="K33" s="1"/>
    </row>
    <row r="34" spans="1:11" ht="15.75" customHeight="1">
      <c r="A34" s="1" t="s">
        <v>500</v>
      </c>
      <c r="B34" s="23">
        <v>45604</v>
      </c>
      <c r="C34" s="20">
        <v>219</v>
      </c>
      <c r="D34" s="21">
        <v>194</v>
      </c>
      <c r="E34" s="21" t="s">
        <v>501</v>
      </c>
      <c r="F34" s="6">
        <f t="shared" si="3"/>
        <v>-0.11415525114155256</v>
      </c>
      <c r="G34" s="1"/>
      <c r="H34" s="1"/>
      <c r="I34" s="1"/>
      <c r="J34" s="1"/>
      <c r="K34" s="1"/>
    </row>
    <row r="35" spans="1:11" ht="15.75" customHeight="1">
      <c r="A35" s="1" t="s">
        <v>502</v>
      </c>
      <c r="B35" s="23">
        <v>45605</v>
      </c>
      <c r="C35" s="20">
        <v>1693</v>
      </c>
      <c r="D35" s="21">
        <v>2519</v>
      </c>
      <c r="E35" s="21"/>
      <c r="F35" s="12">
        <f t="shared" si="3"/>
        <v>0.48789131718842293</v>
      </c>
      <c r="G35" s="1"/>
      <c r="H35" s="1"/>
      <c r="I35" s="1"/>
      <c r="J35" s="1"/>
      <c r="K35" s="1"/>
    </row>
    <row r="36" spans="1:11" ht="15.75" customHeight="1">
      <c r="A36" s="1" t="s">
        <v>503</v>
      </c>
      <c r="B36" s="19" t="s">
        <v>504</v>
      </c>
      <c r="C36" s="20">
        <v>1010</v>
      </c>
      <c r="D36" s="21">
        <v>1444</v>
      </c>
      <c r="E36" s="21"/>
      <c r="F36" s="12">
        <f t="shared" si="3"/>
        <v>0.42970297029702964</v>
      </c>
      <c r="G36" s="1"/>
      <c r="H36" s="1"/>
      <c r="I36" s="1"/>
      <c r="J36" s="1"/>
      <c r="K36" s="1"/>
    </row>
    <row r="37" spans="1:11" ht="15.75" customHeight="1">
      <c r="A37" s="1" t="s">
        <v>505</v>
      </c>
      <c r="B37" s="19" t="s">
        <v>506</v>
      </c>
      <c r="C37" s="20">
        <v>1525</v>
      </c>
      <c r="D37" s="21">
        <v>1578</v>
      </c>
      <c r="E37" s="21"/>
      <c r="F37" s="12">
        <f t="shared" si="3"/>
        <v>3.4754098360655794E-2</v>
      </c>
      <c r="G37" s="1"/>
      <c r="H37" s="1"/>
      <c r="I37" s="1"/>
      <c r="J37" s="1"/>
      <c r="K37" s="1"/>
    </row>
    <row r="38" spans="1:11" ht="15.75" customHeight="1">
      <c r="A38" s="1" t="s">
        <v>507</v>
      </c>
      <c r="B38" s="71">
        <v>45625</v>
      </c>
      <c r="C38" s="20">
        <v>408</v>
      </c>
      <c r="D38" s="21">
        <v>548</v>
      </c>
      <c r="E38" s="21"/>
      <c r="F38" s="12">
        <f t="shared" si="3"/>
        <v>0.34313725490196068</v>
      </c>
      <c r="G38" s="1"/>
      <c r="H38" s="1"/>
      <c r="I38" s="1"/>
      <c r="J38" s="1"/>
      <c r="K38" s="1"/>
    </row>
    <row r="39" spans="1:11" ht="15.75" customHeight="1">
      <c r="A39" s="1" t="s">
        <v>508</v>
      </c>
      <c r="B39" s="23">
        <v>45643</v>
      </c>
      <c r="C39" s="20">
        <v>1997</v>
      </c>
      <c r="D39" s="21">
        <v>2493</v>
      </c>
      <c r="E39" s="21"/>
      <c r="F39" s="12">
        <f t="shared" si="3"/>
        <v>0.24837255883825748</v>
      </c>
      <c r="G39" s="1"/>
      <c r="H39" s="1"/>
      <c r="I39" s="1"/>
      <c r="J39" s="1"/>
      <c r="K39" s="1"/>
    </row>
    <row r="40" spans="1:11" ht="15.75" customHeight="1">
      <c r="A40" s="1" t="s">
        <v>509</v>
      </c>
      <c r="B40" s="23">
        <v>45643</v>
      </c>
      <c r="C40" s="20">
        <v>826</v>
      </c>
      <c r="D40" s="21">
        <v>847.3</v>
      </c>
      <c r="E40" s="21"/>
      <c r="F40" s="12">
        <f t="shared" si="3"/>
        <v>2.5786924939467326E-2</v>
      </c>
      <c r="G40" s="1"/>
      <c r="H40" s="1"/>
      <c r="I40" s="1"/>
      <c r="J40" s="1"/>
      <c r="K40" s="1"/>
    </row>
    <row r="41" spans="1:11" ht="15.75" customHeight="1">
      <c r="A41" s="1" t="s">
        <v>510</v>
      </c>
      <c r="B41" s="23">
        <v>45643</v>
      </c>
      <c r="C41" s="20">
        <v>7946</v>
      </c>
      <c r="D41" s="21">
        <v>7546</v>
      </c>
      <c r="E41" s="21" t="s">
        <v>501</v>
      </c>
      <c r="F41" s="6">
        <f t="shared" si="3"/>
        <v>-5.0339793606846261E-2</v>
      </c>
      <c r="G41" s="1"/>
      <c r="H41" s="1"/>
      <c r="I41" s="1"/>
      <c r="J41" s="1"/>
      <c r="K41" s="1"/>
    </row>
    <row r="42" spans="1:11" ht="15.75" customHeight="1">
      <c r="A42" s="1" t="s">
        <v>511</v>
      </c>
      <c r="B42" s="23">
        <v>45644</v>
      </c>
      <c r="C42" s="20">
        <v>1307</v>
      </c>
      <c r="D42" s="21">
        <v>1343</v>
      </c>
      <c r="E42" s="21"/>
      <c r="F42" s="12">
        <f t="shared" si="3"/>
        <v>2.7543993879112438E-2</v>
      </c>
      <c r="G42" s="1"/>
      <c r="H42" s="1"/>
      <c r="I42" s="1"/>
      <c r="J42" s="1"/>
      <c r="K42" s="1"/>
    </row>
    <row r="43" spans="1:11" ht="15.75" customHeight="1">
      <c r="A43" s="1" t="s">
        <v>512</v>
      </c>
      <c r="B43" s="23">
        <v>45645</v>
      </c>
      <c r="C43" s="20">
        <v>1241</v>
      </c>
      <c r="D43" s="21">
        <v>1215</v>
      </c>
      <c r="E43" s="21"/>
      <c r="F43" s="6">
        <f t="shared" si="3"/>
        <v>-2.0950846091861375E-2</v>
      </c>
      <c r="G43" s="1"/>
      <c r="H43" s="1"/>
      <c r="I43" s="1"/>
      <c r="J43" s="1"/>
      <c r="K43" s="1"/>
    </row>
    <row r="44" spans="1:11" ht="15.75" customHeight="1">
      <c r="A44" s="1" t="s">
        <v>513</v>
      </c>
      <c r="B44" s="23">
        <v>45645</v>
      </c>
      <c r="C44" s="20">
        <v>600</v>
      </c>
      <c r="D44" s="21">
        <v>592</v>
      </c>
      <c r="E44" s="21"/>
      <c r="F44" s="6">
        <f t="shared" si="3"/>
        <v>-1.3333333333333308E-2</v>
      </c>
      <c r="G44" s="1"/>
      <c r="H44" s="1"/>
      <c r="I44" s="1"/>
      <c r="J44" s="1"/>
      <c r="K44" s="1"/>
    </row>
    <row r="45" spans="1:11" ht="15.75" customHeight="1">
      <c r="A45" s="1" t="s">
        <v>514</v>
      </c>
      <c r="B45" s="23">
        <v>45645</v>
      </c>
      <c r="C45" s="20">
        <v>1777</v>
      </c>
      <c r="D45" s="21">
        <v>1879</v>
      </c>
      <c r="E45" s="21"/>
      <c r="F45" s="12">
        <f t="shared" si="3"/>
        <v>5.7400112549240268E-2</v>
      </c>
      <c r="G45" s="1"/>
      <c r="H45" s="1"/>
      <c r="I45" s="1"/>
      <c r="J45" s="1"/>
      <c r="K45" s="1"/>
    </row>
    <row r="46" spans="1:11" ht="15.75" customHeight="1">
      <c r="A46" s="1" t="s">
        <v>510</v>
      </c>
      <c r="B46" s="106">
        <v>45643</v>
      </c>
      <c r="C46" s="20">
        <v>7969</v>
      </c>
      <c r="D46" s="21">
        <v>7566</v>
      </c>
      <c r="E46" s="21"/>
      <c r="F46" s="6">
        <f t="shared" si="3"/>
        <v>-5.0570962479608461E-2</v>
      </c>
      <c r="G46" s="1"/>
      <c r="H46" s="1"/>
      <c r="I46" s="1"/>
      <c r="J46" s="1"/>
      <c r="K46" s="1"/>
    </row>
    <row r="47" spans="1:11" ht="15.75" customHeight="1">
      <c r="A47" s="1" t="s">
        <v>515</v>
      </c>
      <c r="B47" s="23">
        <v>45650</v>
      </c>
      <c r="C47" s="20">
        <v>4532</v>
      </c>
      <c r="D47" s="21">
        <v>4686</v>
      </c>
      <c r="E47" s="21" t="s">
        <v>516</v>
      </c>
      <c r="F47" s="12">
        <f t="shared" si="3"/>
        <v>3.398058252427183E-2</v>
      </c>
      <c r="G47" s="1"/>
      <c r="H47" s="1"/>
      <c r="I47" s="1"/>
      <c r="J47" s="1"/>
      <c r="K47" s="1"/>
    </row>
    <row r="48" spans="1:11" ht="15.75" customHeight="1">
      <c r="A48" s="1" t="s">
        <v>517</v>
      </c>
      <c r="B48" s="23">
        <v>45652</v>
      </c>
      <c r="C48" s="20">
        <v>1819</v>
      </c>
      <c r="D48" s="21">
        <v>1904</v>
      </c>
      <c r="E48" s="21"/>
      <c r="F48" s="12">
        <f t="shared" si="3"/>
        <v>4.6728971962616717E-2</v>
      </c>
      <c r="G48" s="1"/>
      <c r="H48" s="1"/>
      <c r="I48" s="1"/>
      <c r="J48" s="1"/>
      <c r="K48" s="1"/>
    </row>
    <row r="49" spans="1:11" ht="15.75" customHeight="1">
      <c r="A49" s="1" t="s">
        <v>518</v>
      </c>
      <c r="B49" s="23">
        <v>45653</v>
      </c>
      <c r="C49" s="20">
        <v>1592</v>
      </c>
      <c r="D49" s="21">
        <v>1609</v>
      </c>
      <c r="E49" s="21"/>
      <c r="F49" s="12">
        <f t="shared" si="3"/>
        <v>1.0678391959799027E-2</v>
      </c>
      <c r="G49" s="1"/>
      <c r="H49" s="1"/>
      <c r="I49" s="1"/>
      <c r="J49" s="1"/>
      <c r="K49" s="1"/>
    </row>
    <row r="50" spans="1:11" ht="15.75" customHeight="1">
      <c r="A50" s="1" t="s">
        <v>519</v>
      </c>
      <c r="B50" s="23">
        <v>45607</v>
      </c>
      <c r="C50" s="20">
        <v>314</v>
      </c>
      <c r="D50" s="21">
        <v>366</v>
      </c>
      <c r="E50" s="21" t="s">
        <v>516</v>
      </c>
      <c r="F50" s="12">
        <f t="shared" si="3"/>
        <v>0.16560509554140124</v>
      </c>
      <c r="G50" s="1"/>
      <c r="H50" s="1"/>
      <c r="I50" s="1"/>
      <c r="J50" s="1"/>
      <c r="K50" s="1"/>
    </row>
    <row r="51" spans="1:11" ht="15.75" customHeight="1">
      <c r="A51" s="1" t="s">
        <v>520</v>
      </c>
      <c r="B51" s="23">
        <v>45653</v>
      </c>
      <c r="C51" s="20">
        <v>4932</v>
      </c>
      <c r="D51" s="21">
        <v>4821</v>
      </c>
      <c r="E51" s="21"/>
      <c r="F51" s="6">
        <f t="shared" si="3"/>
        <v>-2.2506082725060828E-2</v>
      </c>
      <c r="G51" s="1"/>
      <c r="H51" s="1"/>
      <c r="I51" s="1"/>
      <c r="J51" s="1"/>
      <c r="K51" s="1"/>
    </row>
    <row r="52" spans="1:11" ht="15.75" customHeight="1">
      <c r="A52" s="1" t="s">
        <v>521</v>
      </c>
      <c r="B52" s="23">
        <v>45657</v>
      </c>
      <c r="C52" s="20">
        <v>707</v>
      </c>
      <c r="D52" s="21">
        <v>748</v>
      </c>
      <c r="E52" s="21"/>
      <c r="F52" s="12">
        <f t="shared" si="3"/>
        <v>5.7991513437057884E-2</v>
      </c>
      <c r="G52" s="1"/>
      <c r="H52" s="1"/>
      <c r="I52" s="1"/>
      <c r="J52" s="1"/>
      <c r="K52" s="1"/>
    </row>
    <row r="53" spans="1:11" ht="15.75" customHeight="1">
      <c r="A53" s="1" t="s">
        <v>522</v>
      </c>
      <c r="B53" s="23">
        <v>45657</v>
      </c>
      <c r="C53" s="20">
        <v>108</v>
      </c>
      <c r="D53" s="21">
        <v>138</v>
      </c>
      <c r="E53" s="21"/>
      <c r="F53" s="12">
        <f t="shared" si="3"/>
        <v>0.27777777777777768</v>
      </c>
      <c r="G53" s="1"/>
      <c r="H53" s="1"/>
      <c r="I53" s="1"/>
      <c r="J53" s="1"/>
      <c r="K53" s="1"/>
    </row>
    <row r="54" spans="1:11" ht="15.75" customHeight="1">
      <c r="A54" s="1" t="s">
        <v>523</v>
      </c>
      <c r="B54" s="23">
        <v>45657</v>
      </c>
      <c r="C54" s="20">
        <v>1260</v>
      </c>
      <c r="D54" s="21">
        <v>1284</v>
      </c>
      <c r="E54" s="21"/>
      <c r="F54" s="12">
        <f t="shared" si="3"/>
        <v>1.904761904761898E-2</v>
      </c>
      <c r="G54" s="1"/>
      <c r="H54" s="1"/>
      <c r="I54" s="1"/>
      <c r="J54" s="1"/>
      <c r="K54" s="1"/>
    </row>
    <row r="55" spans="1:11" ht="15.75" customHeight="1">
      <c r="A55" s="1"/>
      <c r="B55" s="23"/>
      <c r="C55" s="20"/>
      <c r="D55" s="21"/>
      <c r="E55" s="21"/>
      <c r="F55" s="12"/>
      <c r="G55" s="1"/>
      <c r="H55" s="1"/>
      <c r="I55" s="1"/>
      <c r="J55" s="1"/>
      <c r="K55" s="1"/>
    </row>
    <row r="56" spans="1:11" ht="15.75" customHeight="1">
      <c r="A56" s="1"/>
      <c r="B56" s="23"/>
      <c r="C56" s="20"/>
      <c r="D56" s="21"/>
      <c r="E56" s="21"/>
      <c r="F56" s="12"/>
      <c r="G56" s="1"/>
      <c r="H56" s="1"/>
      <c r="I56" s="1"/>
      <c r="J56" s="1"/>
      <c r="K56" s="1"/>
    </row>
    <row r="57" spans="1:11" ht="15.75" customHeight="1">
      <c r="A57" s="1"/>
      <c r="B57" s="23"/>
      <c r="C57" s="20"/>
      <c r="D57" s="21"/>
      <c r="E57" s="21"/>
      <c r="F57" s="12"/>
      <c r="G57" s="1"/>
      <c r="H57" s="1"/>
      <c r="I57" s="1"/>
      <c r="J57" s="1"/>
      <c r="K57" s="1"/>
    </row>
    <row r="58" spans="1:11" ht="15.75" customHeight="1">
      <c r="A58" s="1"/>
      <c r="B58" s="23"/>
      <c r="C58" s="20"/>
      <c r="D58" s="21"/>
      <c r="E58" s="21"/>
      <c r="F58" s="12"/>
      <c r="G58" s="1"/>
      <c r="H58" s="1"/>
      <c r="I58" s="1"/>
      <c r="J58" s="1"/>
      <c r="K58" s="1"/>
    </row>
    <row r="59" spans="1:11" ht="15.75" customHeight="1">
      <c r="A59" s="1"/>
      <c r="B59" s="23"/>
      <c r="C59" s="20"/>
      <c r="D59" s="21"/>
      <c r="E59" s="21"/>
      <c r="F59" s="12"/>
      <c r="G59" s="1"/>
      <c r="H59" s="1"/>
      <c r="I59" s="1"/>
      <c r="J59" s="1"/>
      <c r="K59" s="1"/>
    </row>
    <row r="60" spans="1:11" ht="15.75" customHeight="1">
      <c r="A60" s="1"/>
      <c r="B60" s="23"/>
      <c r="C60" s="20"/>
      <c r="D60" s="21"/>
      <c r="E60" s="21"/>
      <c r="F60" s="12"/>
      <c r="G60" s="1"/>
      <c r="H60" s="1"/>
      <c r="I60" s="1"/>
      <c r="J60" s="1"/>
      <c r="K60" s="1"/>
    </row>
    <row r="61" spans="1:11" ht="15.75" customHeight="1">
      <c r="A61" s="1"/>
      <c r="B61" s="23"/>
      <c r="C61" s="20"/>
      <c r="D61" s="21"/>
      <c r="E61" s="21"/>
      <c r="F61" s="12"/>
      <c r="G61" s="1"/>
      <c r="H61" s="1"/>
      <c r="I61" s="1"/>
      <c r="J61" s="1"/>
      <c r="K61" s="1"/>
    </row>
    <row r="62" spans="1:11" ht="15.75" customHeight="1">
      <c r="A62" s="1"/>
      <c r="B62" s="23"/>
      <c r="C62" s="20"/>
      <c r="D62" s="21"/>
      <c r="E62" s="21"/>
      <c r="F62" s="12"/>
      <c r="G62" s="1"/>
      <c r="H62" s="1"/>
      <c r="I62" s="1"/>
      <c r="J62" s="1"/>
      <c r="K62" s="1"/>
    </row>
    <row r="63" spans="1:11" ht="15.75" customHeight="1">
      <c r="A63" s="1"/>
      <c r="B63" s="23"/>
      <c r="C63" s="20"/>
      <c r="D63" s="21"/>
      <c r="E63" s="21"/>
      <c r="F63" s="12"/>
      <c r="G63" s="1"/>
      <c r="H63" s="1"/>
      <c r="I63" s="1"/>
      <c r="J63" s="1"/>
      <c r="K63" s="1"/>
    </row>
    <row r="64" spans="1:11" ht="15.75" customHeight="1">
      <c r="A64" s="1"/>
      <c r="B64" s="23"/>
      <c r="C64" s="20"/>
      <c r="D64" s="21"/>
      <c r="E64" s="21"/>
      <c r="F64" s="12"/>
      <c r="G64" s="1"/>
      <c r="H64" s="1"/>
      <c r="I64" s="1"/>
      <c r="J64" s="1"/>
      <c r="K64" s="1"/>
    </row>
    <row r="65" spans="1:11" ht="15.75" customHeight="1">
      <c r="A65" s="1"/>
      <c r="B65" s="23"/>
      <c r="C65" s="20"/>
      <c r="D65" s="21"/>
      <c r="E65" s="21"/>
      <c r="F65" s="12"/>
      <c r="G65" s="1"/>
      <c r="H65" s="1"/>
      <c r="I65" s="1"/>
      <c r="J65" s="1"/>
      <c r="K65" s="1"/>
    </row>
    <row r="66" spans="1:11" ht="15.75" customHeight="1">
      <c r="A66" s="1"/>
      <c r="B66" s="23"/>
      <c r="C66" s="20"/>
      <c r="D66" s="21"/>
      <c r="E66" s="21"/>
      <c r="F66" s="12"/>
      <c r="G66" s="1"/>
      <c r="H66" s="1"/>
      <c r="I66" s="1"/>
      <c r="J66" s="1"/>
      <c r="K66" s="1"/>
    </row>
    <row r="67" spans="1:11" ht="15.75" customHeight="1">
      <c r="A67" s="1"/>
      <c r="B67" s="23"/>
      <c r="C67" s="20"/>
      <c r="D67" s="21"/>
      <c r="E67" s="21"/>
      <c r="F67" s="12"/>
      <c r="G67" s="1"/>
      <c r="H67" s="1"/>
      <c r="I67" s="1"/>
      <c r="J67" s="1"/>
      <c r="K67" s="1"/>
    </row>
    <row r="68" spans="1:11" ht="15.75" customHeight="1">
      <c r="A68" s="1"/>
      <c r="B68" s="106"/>
      <c r="C68" s="20"/>
      <c r="D68" s="21"/>
      <c r="E68" s="21"/>
      <c r="F68" s="12"/>
      <c r="G68" s="1"/>
      <c r="H68" s="1"/>
      <c r="I68" s="1"/>
      <c r="J68" s="1"/>
      <c r="K68" s="1"/>
    </row>
    <row r="69" spans="1:11" ht="15.75" customHeight="1">
      <c r="A69" s="1"/>
      <c r="B69" s="23"/>
      <c r="C69" s="20"/>
      <c r="D69" s="21"/>
      <c r="E69" s="21"/>
      <c r="F69" s="12"/>
      <c r="G69" s="1"/>
      <c r="H69" s="1"/>
      <c r="I69" s="1"/>
      <c r="J69" s="1"/>
      <c r="K69" s="1"/>
    </row>
    <row r="70" spans="1:11" ht="15.75" customHeight="1">
      <c r="A70" s="1"/>
      <c r="B70" s="23"/>
      <c r="C70" s="20"/>
      <c r="D70" s="21"/>
      <c r="E70" s="21"/>
      <c r="F70" s="12"/>
      <c r="G70" s="1"/>
      <c r="H70" s="1"/>
      <c r="I70" s="1"/>
      <c r="J70" s="1"/>
      <c r="K70" s="1"/>
    </row>
    <row r="71" spans="1:11" ht="15.75" customHeight="1">
      <c r="A71" s="1"/>
      <c r="B71" s="23"/>
      <c r="C71" s="20"/>
      <c r="D71" s="21"/>
      <c r="E71" s="21"/>
      <c r="F71" s="12"/>
      <c r="G71" s="1"/>
      <c r="H71" s="1"/>
      <c r="I71" s="1"/>
      <c r="J71" s="1"/>
      <c r="K71" s="1"/>
    </row>
    <row r="72" spans="1:11" ht="15.75" customHeight="1">
      <c r="A72" s="1"/>
      <c r="B72" s="106"/>
      <c r="C72" s="20"/>
      <c r="D72" s="21"/>
      <c r="E72" s="21"/>
      <c r="F72" s="12"/>
      <c r="G72" s="1"/>
      <c r="H72" s="1"/>
      <c r="I72" s="1"/>
      <c r="J72" s="1"/>
      <c r="K72" s="1"/>
    </row>
    <row r="73" spans="1:11" ht="15.75" customHeight="1">
      <c r="A73" s="1"/>
      <c r="B73" s="23"/>
      <c r="C73" s="20"/>
      <c r="D73" s="21"/>
      <c r="E73" s="21"/>
      <c r="F73" s="12"/>
      <c r="G73" s="1"/>
      <c r="H73" s="1"/>
      <c r="I73" s="1"/>
      <c r="J73" s="1"/>
      <c r="K73" s="1"/>
    </row>
    <row r="74" spans="1:11" ht="15.75" customHeight="1">
      <c r="A74" s="1"/>
      <c r="B74" s="106"/>
      <c r="C74" s="20"/>
      <c r="D74" s="21"/>
      <c r="E74" s="21"/>
      <c r="F74" s="12"/>
      <c r="G74" s="1"/>
      <c r="H74" s="1"/>
      <c r="I74" s="1"/>
      <c r="J74" s="1"/>
      <c r="K74" s="1"/>
    </row>
    <row r="75" spans="1:11" ht="15.75" customHeight="1">
      <c r="A75" s="1"/>
      <c r="B75" s="23"/>
      <c r="C75" s="20"/>
      <c r="D75" s="21"/>
      <c r="E75" s="21"/>
      <c r="F75" s="12"/>
      <c r="G75" s="1"/>
      <c r="H75" s="1"/>
      <c r="I75" s="1"/>
      <c r="J75" s="1"/>
      <c r="K75" s="1"/>
    </row>
    <row r="76" spans="1:11" ht="15.75" customHeight="1">
      <c r="A76" s="1"/>
      <c r="B76" s="23"/>
      <c r="C76" s="20"/>
      <c r="D76" s="21"/>
      <c r="E76" s="21"/>
      <c r="F76" s="12"/>
      <c r="G76" s="1"/>
      <c r="H76" s="1"/>
      <c r="I76" s="1"/>
      <c r="J76" s="1"/>
      <c r="K76" s="1"/>
    </row>
    <row r="77" spans="1:11" ht="15.75" customHeight="1">
      <c r="A77" s="1"/>
      <c r="B77" s="23"/>
      <c r="C77" s="20"/>
      <c r="D77" s="21"/>
      <c r="E77" s="21"/>
      <c r="F77" s="12"/>
      <c r="G77" s="1"/>
      <c r="H77" s="1"/>
      <c r="I77" s="1"/>
      <c r="J77" s="1"/>
      <c r="K77" s="1"/>
    </row>
    <row r="78" spans="1:11" ht="15.75" customHeight="1">
      <c r="A78" s="1"/>
      <c r="B78" s="23"/>
      <c r="C78" s="20"/>
      <c r="D78" s="21"/>
      <c r="E78" s="21"/>
      <c r="F78" s="12"/>
      <c r="G78" s="1"/>
      <c r="H78" s="1"/>
      <c r="I78" s="1"/>
      <c r="J78" s="1"/>
      <c r="K78" s="1"/>
    </row>
    <row r="79" spans="1:11" ht="15.75" customHeight="1">
      <c r="A79" s="1"/>
      <c r="B79" s="23"/>
      <c r="C79" s="20"/>
      <c r="D79" s="21"/>
      <c r="E79" s="21"/>
      <c r="F79" s="12"/>
      <c r="G79" s="1"/>
      <c r="H79" s="1"/>
      <c r="I79" s="1"/>
      <c r="J79" s="1"/>
      <c r="K79" s="1"/>
    </row>
    <row r="80" spans="1:11" ht="15.75" customHeight="1">
      <c r="A80" s="1"/>
      <c r="B80" s="23"/>
      <c r="C80" s="20"/>
      <c r="D80" s="21"/>
      <c r="E80" s="21"/>
      <c r="F80" s="12"/>
      <c r="G80" s="1"/>
      <c r="H80" s="1"/>
      <c r="I80" s="1"/>
      <c r="J80" s="1"/>
      <c r="K80" s="1"/>
    </row>
    <row r="81" spans="1:11" ht="15.75" customHeight="1">
      <c r="A81" s="1"/>
      <c r="B81" s="23"/>
      <c r="C81" s="20"/>
      <c r="D81" s="21"/>
      <c r="E81" s="21"/>
      <c r="F81" s="12"/>
      <c r="G81" s="1"/>
      <c r="H81" s="1"/>
      <c r="I81" s="1"/>
      <c r="J81" s="1"/>
      <c r="K81" s="1"/>
    </row>
    <row r="82" spans="1:11" ht="15.75" customHeight="1">
      <c r="A82" s="1"/>
      <c r="B82" s="23"/>
      <c r="C82" s="20"/>
      <c r="D82" s="21"/>
      <c r="E82" s="21"/>
      <c r="F82" s="12"/>
      <c r="G82" s="1"/>
      <c r="H82" s="1"/>
      <c r="I82" s="1"/>
      <c r="J82" s="1"/>
      <c r="K82" s="1"/>
    </row>
    <row r="83" spans="1:11" ht="15.75" customHeight="1">
      <c r="A83" s="1"/>
      <c r="B83" s="23"/>
      <c r="C83" s="20"/>
      <c r="D83" s="21"/>
      <c r="E83" s="21"/>
      <c r="F83" s="12"/>
      <c r="G83" s="1"/>
      <c r="H83" s="1"/>
      <c r="I83" s="1"/>
      <c r="J83" s="1"/>
      <c r="K83" s="1"/>
    </row>
    <row r="84" spans="1:11" ht="15.75" customHeight="1">
      <c r="A84" s="1"/>
      <c r="B84" s="23"/>
      <c r="C84" s="20"/>
      <c r="D84" s="21"/>
      <c r="E84" s="21"/>
      <c r="F84" s="12"/>
      <c r="G84" s="1"/>
      <c r="H84" s="1"/>
      <c r="I84" s="1"/>
      <c r="J84" s="1"/>
      <c r="K84" s="1"/>
    </row>
    <row r="85" spans="1:11" ht="15.75" customHeight="1">
      <c r="A85" s="1"/>
      <c r="B85" s="23"/>
      <c r="C85" s="20"/>
      <c r="D85" s="21"/>
      <c r="E85" s="21"/>
      <c r="F85" s="12"/>
      <c r="G85" s="1"/>
      <c r="H85" s="1"/>
      <c r="I85" s="1"/>
      <c r="J85" s="1"/>
      <c r="K85" s="1"/>
    </row>
    <row r="86" spans="1:11" ht="15.75" customHeight="1">
      <c r="A86" s="1"/>
      <c r="B86" s="23"/>
      <c r="C86" s="20"/>
      <c r="D86" s="21"/>
      <c r="E86" s="21"/>
      <c r="F86" s="12"/>
      <c r="G86" s="1"/>
      <c r="H86" s="1"/>
      <c r="I86" s="1"/>
      <c r="J86" s="1"/>
      <c r="K86" s="1"/>
    </row>
    <row r="87" spans="1:11" ht="15.75" customHeight="1">
      <c r="A87" s="1"/>
      <c r="B87" s="106"/>
      <c r="C87" s="20"/>
      <c r="D87" s="21"/>
      <c r="E87" s="21"/>
      <c r="F87" s="12"/>
      <c r="G87" s="1"/>
      <c r="H87" s="1"/>
      <c r="I87" s="1"/>
      <c r="J87" s="1"/>
      <c r="K87" s="1"/>
    </row>
    <row r="88" spans="1:11" ht="15.75" customHeight="1">
      <c r="A88" s="1"/>
      <c r="B88" s="106"/>
      <c r="C88" s="20"/>
      <c r="D88" s="21"/>
      <c r="E88" s="21"/>
      <c r="F88" s="12"/>
      <c r="G88" s="1"/>
      <c r="H88" s="1"/>
      <c r="I88" s="1"/>
      <c r="J88" s="1"/>
      <c r="K88" s="1"/>
    </row>
    <row r="89" spans="1:11" ht="15.75" customHeight="1">
      <c r="A89" s="1"/>
      <c r="B89" s="23"/>
      <c r="C89" s="20"/>
      <c r="D89" s="21"/>
      <c r="E89" s="21"/>
      <c r="F89" s="12"/>
      <c r="G89" s="1"/>
      <c r="H89" s="1"/>
      <c r="I89" s="1"/>
      <c r="J89" s="1"/>
      <c r="K89" s="1"/>
    </row>
    <row r="90" spans="1:11" ht="15.75" customHeight="1">
      <c r="A90" s="1"/>
      <c r="B90" s="23"/>
      <c r="C90" s="20"/>
      <c r="D90" s="21"/>
      <c r="E90" s="21"/>
      <c r="F90" s="12"/>
      <c r="G90" s="1"/>
      <c r="H90" s="1"/>
      <c r="I90" s="1"/>
      <c r="J90" s="1"/>
      <c r="K90" s="1"/>
    </row>
    <row r="91" spans="1:11" ht="15.75" customHeight="1">
      <c r="A91" s="1"/>
      <c r="B91" s="23"/>
      <c r="C91" s="20"/>
      <c r="D91" s="21"/>
      <c r="E91" s="21"/>
      <c r="F91" s="12"/>
      <c r="G91" s="1"/>
      <c r="H91" s="1"/>
      <c r="I91" s="1"/>
      <c r="J91" s="1"/>
      <c r="K91" s="1"/>
    </row>
    <row r="92" spans="1:11" ht="15.75" customHeight="1">
      <c r="A92" s="1"/>
      <c r="B92" s="23"/>
      <c r="C92" s="20"/>
      <c r="D92" s="21"/>
      <c r="E92" s="21"/>
      <c r="F92" s="12"/>
      <c r="G92" s="1"/>
      <c r="H92" s="1"/>
      <c r="I92" s="1"/>
      <c r="J92" s="1"/>
      <c r="K92" s="1"/>
    </row>
    <row r="93" spans="1:11" ht="15.75" customHeight="1">
      <c r="A93" s="1"/>
      <c r="B93" s="23"/>
      <c r="C93" s="20"/>
      <c r="D93" s="21"/>
      <c r="E93" s="21"/>
      <c r="F93" s="115"/>
      <c r="G93" s="1"/>
      <c r="H93" s="1"/>
      <c r="I93" s="1"/>
      <c r="J93" s="1"/>
      <c r="K93" s="1"/>
    </row>
    <row r="94" spans="1:11" ht="15.75" customHeight="1">
      <c r="A94" s="1"/>
      <c r="B94" s="106"/>
      <c r="C94" s="20"/>
      <c r="D94" s="21"/>
      <c r="E94" s="21"/>
      <c r="F94" s="12"/>
      <c r="G94" s="1"/>
      <c r="H94" s="1"/>
      <c r="I94" s="1"/>
      <c r="J94" s="1"/>
      <c r="K94" s="1"/>
    </row>
    <row r="95" spans="1:11" ht="15.75" customHeight="1">
      <c r="A95" s="1"/>
      <c r="B95" s="23"/>
      <c r="C95" s="20"/>
      <c r="D95" s="21"/>
      <c r="E95" s="21"/>
      <c r="F95" s="12"/>
      <c r="G95" s="1"/>
      <c r="H95" s="1"/>
      <c r="I95" s="1"/>
      <c r="J95" s="1"/>
      <c r="K95" s="1"/>
    </row>
    <row r="96" spans="1:11" ht="15.75" customHeight="1">
      <c r="A96" s="1"/>
      <c r="B96" s="23"/>
      <c r="C96" s="20"/>
      <c r="D96" s="21"/>
      <c r="E96" s="21"/>
      <c r="F96" s="12"/>
      <c r="G96" s="1"/>
      <c r="H96" s="1"/>
      <c r="I96" s="1"/>
      <c r="J96" s="1"/>
      <c r="K96" s="1"/>
    </row>
    <row r="97" spans="1:11" ht="15.75" customHeight="1">
      <c r="A97" s="1"/>
      <c r="B97" s="23"/>
      <c r="C97" s="20"/>
      <c r="D97" s="21"/>
      <c r="E97" s="21"/>
      <c r="F97" s="12"/>
      <c r="G97" s="1"/>
      <c r="H97" s="1"/>
      <c r="I97" s="1"/>
      <c r="J97" s="1"/>
      <c r="K97" s="1"/>
    </row>
    <row r="98" spans="1:11" ht="15.75" customHeight="1">
      <c r="A98" s="1"/>
      <c r="B98" s="23"/>
      <c r="C98" s="20"/>
      <c r="D98" s="21"/>
      <c r="E98" s="21"/>
      <c r="F98" s="12"/>
      <c r="G98" s="1"/>
      <c r="H98" s="1"/>
      <c r="I98" s="1"/>
      <c r="J98" s="1"/>
      <c r="K98" s="1"/>
    </row>
    <row r="99" spans="1:11" ht="15.75" customHeight="1">
      <c r="A99" s="1"/>
      <c r="B99" s="23"/>
      <c r="C99" s="20"/>
      <c r="D99" s="21"/>
      <c r="E99" s="21"/>
      <c r="F99" s="12"/>
      <c r="G99" s="1"/>
      <c r="H99" s="1"/>
      <c r="I99" s="1"/>
      <c r="J99" s="1"/>
      <c r="K99" s="1"/>
    </row>
    <row r="100" spans="1:11" ht="15.75" customHeight="1">
      <c r="A100" s="1"/>
      <c r="B100" s="23"/>
      <c r="C100" s="20"/>
      <c r="D100" s="21"/>
      <c r="E100" s="21"/>
      <c r="F100" s="12"/>
      <c r="G100" s="1"/>
      <c r="H100" s="1"/>
      <c r="I100" s="1"/>
      <c r="J100" s="1"/>
      <c r="K100" s="1"/>
    </row>
    <row r="101" spans="1:11" ht="15.75" customHeight="1">
      <c r="A101" s="1"/>
      <c r="B101" s="23"/>
      <c r="C101" s="20"/>
      <c r="D101" s="21"/>
      <c r="E101" s="21"/>
      <c r="F101" s="12"/>
      <c r="G101" s="1"/>
      <c r="H101" s="1"/>
      <c r="I101" s="1"/>
      <c r="J101" s="1"/>
      <c r="K101" s="1"/>
    </row>
    <row r="102" spans="1:11" ht="15.75" customHeight="1">
      <c r="A102" s="1"/>
      <c r="B102" s="23"/>
      <c r="C102" s="20"/>
      <c r="D102" s="21"/>
      <c r="E102" s="21"/>
      <c r="F102" s="12"/>
      <c r="G102" s="1"/>
      <c r="H102" s="1"/>
      <c r="I102" s="1"/>
      <c r="J102" s="1"/>
      <c r="K102" s="1"/>
    </row>
    <row r="103" spans="1:11" ht="15.75" customHeight="1">
      <c r="A103" s="1"/>
      <c r="B103" s="23"/>
      <c r="C103" s="20"/>
      <c r="D103" s="21"/>
      <c r="E103" s="21"/>
      <c r="F103" s="12"/>
      <c r="G103" s="1"/>
      <c r="H103" s="1"/>
      <c r="I103" s="1"/>
      <c r="J103" s="1"/>
      <c r="K103" s="1"/>
    </row>
    <row r="104" spans="1:11" ht="15.75" customHeight="1">
      <c r="A104" s="1"/>
      <c r="B104" s="106"/>
      <c r="C104" s="20"/>
      <c r="D104" s="21"/>
      <c r="E104" s="21"/>
      <c r="F104" s="12"/>
      <c r="G104" s="1"/>
      <c r="H104" s="1"/>
      <c r="I104" s="1"/>
      <c r="J104" s="1"/>
      <c r="K104" s="1"/>
    </row>
    <row r="105" spans="1:11" ht="15.75" customHeight="1">
      <c r="A105" s="1"/>
      <c r="B105" s="106"/>
      <c r="C105" s="20"/>
      <c r="D105" s="21"/>
      <c r="E105" s="21"/>
      <c r="F105" s="12"/>
      <c r="G105" s="1"/>
      <c r="H105" s="1"/>
      <c r="I105" s="1"/>
      <c r="J105" s="1"/>
      <c r="K105" s="1"/>
    </row>
    <row r="106" spans="1:11" ht="15.75" customHeight="1">
      <c r="A106" s="1"/>
      <c r="B106" s="23"/>
      <c r="C106" s="20"/>
      <c r="D106" s="21"/>
      <c r="E106" s="21"/>
      <c r="F106" s="12"/>
      <c r="G106" s="1"/>
      <c r="H106" s="1"/>
      <c r="I106" s="1"/>
      <c r="J106" s="1"/>
      <c r="K106" s="1"/>
    </row>
    <row r="107" spans="1:11" ht="15.75" customHeight="1">
      <c r="A107" s="1"/>
      <c r="B107" s="23"/>
      <c r="C107" s="20"/>
      <c r="D107" s="21"/>
      <c r="E107" s="21"/>
      <c r="F107" s="12"/>
      <c r="G107" s="1"/>
      <c r="H107" s="1"/>
      <c r="I107" s="1"/>
      <c r="J107" s="1"/>
      <c r="K107" s="1"/>
    </row>
    <row r="108" spans="1:11" ht="15.75" customHeight="1">
      <c r="A108" s="1"/>
      <c r="B108" s="23"/>
      <c r="C108" s="20"/>
      <c r="D108" s="21"/>
      <c r="E108" s="21"/>
      <c r="F108" s="12"/>
      <c r="G108" s="1"/>
      <c r="H108" s="1"/>
      <c r="I108" s="1"/>
      <c r="J108" s="1"/>
      <c r="K108" s="1"/>
    </row>
    <row r="109" spans="1:11" ht="15.75" customHeight="1">
      <c r="A109" s="1"/>
      <c r="B109" s="23"/>
      <c r="C109" s="20"/>
      <c r="D109" s="21"/>
      <c r="E109" s="21"/>
      <c r="F109" s="12"/>
      <c r="G109" s="1"/>
      <c r="H109" s="1"/>
      <c r="I109" s="1"/>
      <c r="J109" s="1"/>
      <c r="K109" s="1"/>
    </row>
    <row r="110" spans="1:11" ht="15.75" customHeight="1">
      <c r="A110" s="1"/>
      <c r="B110" s="23"/>
      <c r="C110" s="20"/>
      <c r="D110" s="21"/>
      <c r="E110" s="21"/>
      <c r="F110" s="12"/>
      <c r="G110" s="1"/>
      <c r="H110" s="1"/>
      <c r="I110" s="1"/>
      <c r="J110" s="1"/>
      <c r="K110" s="1"/>
    </row>
    <row r="111" spans="1:11" ht="15.75" customHeight="1">
      <c r="A111" s="1"/>
      <c r="B111" s="23"/>
      <c r="C111" s="20"/>
      <c r="D111" s="21"/>
      <c r="E111" s="21"/>
      <c r="F111" s="12"/>
      <c r="G111" s="1"/>
      <c r="H111" s="1"/>
      <c r="I111" s="1"/>
      <c r="J111" s="1"/>
      <c r="K111" s="1"/>
    </row>
    <row r="112" spans="1:11" ht="15.75" customHeight="1">
      <c r="A112" s="1"/>
      <c r="B112" s="23"/>
      <c r="C112" s="20"/>
      <c r="D112" s="21"/>
      <c r="E112" s="21"/>
      <c r="F112" s="12"/>
      <c r="G112" s="1"/>
      <c r="H112" s="1"/>
      <c r="I112" s="1"/>
      <c r="J112" s="1"/>
      <c r="K112" s="1"/>
    </row>
    <row r="113" spans="1:11" ht="15.75" customHeight="1">
      <c r="A113" s="1"/>
      <c r="B113" s="23"/>
      <c r="C113" s="20"/>
      <c r="D113" s="21"/>
      <c r="E113" s="21"/>
      <c r="F113" s="12"/>
      <c r="G113" s="1"/>
      <c r="H113" s="1"/>
      <c r="I113" s="1"/>
      <c r="J113" s="1"/>
      <c r="K113" s="1"/>
    </row>
    <row r="114" spans="1:11" ht="15.75" customHeight="1">
      <c r="A114" s="1"/>
      <c r="B114" s="23"/>
      <c r="C114" s="20"/>
      <c r="D114" s="21"/>
      <c r="E114" s="21"/>
      <c r="F114" s="12"/>
      <c r="G114" s="1"/>
      <c r="H114" s="1"/>
      <c r="I114" s="1"/>
      <c r="J114" s="1"/>
      <c r="K114" s="1"/>
    </row>
    <row r="115" spans="1:11" ht="15.75" customHeight="1">
      <c r="A115" s="1"/>
      <c r="B115" s="106"/>
      <c r="C115" s="20"/>
      <c r="D115" s="21"/>
      <c r="E115" s="21"/>
      <c r="F115" s="12"/>
      <c r="G115" s="1"/>
      <c r="H115" s="1"/>
      <c r="I115" s="1"/>
      <c r="J115" s="1"/>
      <c r="K115" s="1"/>
    </row>
    <row r="116" spans="1:11" ht="15.75" customHeight="1">
      <c r="A116" s="1"/>
      <c r="B116" s="106"/>
      <c r="C116" s="20"/>
      <c r="D116" s="21"/>
      <c r="E116" s="21"/>
      <c r="F116" s="12"/>
      <c r="G116" s="1"/>
      <c r="H116" s="1"/>
      <c r="I116" s="1"/>
      <c r="J116" s="1"/>
      <c r="K116" s="1"/>
    </row>
    <row r="117" spans="1:11" ht="15.75" customHeight="1">
      <c r="A117" s="1"/>
      <c r="B117" s="23"/>
      <c r="C117" s="20"/>
      <c r="D117" s="21"/>
      <c r="E117" s="21"/>
      <c r="F117" s="12"/>
      <c r="G117" s="1"/>
      <c r="H117" s="1"/>
      <c r="I117" s="1"/>
      <c r="J117" s="1"/>
      <c r="K117" s="1"/>
    </row>
    <row r="118" spans="1:11" ht="15.75" customHeight="1">
      <c r="A118" s="1"/>
      <c r="B118" s="23"/>
      <c r="C118" s="20"/>
      <c r="D118" s="21"/>
      <c r="E118" s="21"/>
      <c r="F118" s="36"/>
      <c r="G118" s="1"/>
      <c r="H118" s="1"/>
      <c r="I118" s="1"/>
      <c r="J118" s="1"/>
      <c r="K118" s="1"/>
    </row>
    <row r="119" spans="1:11" ht="15.75" customHeight="1">
      <c r="A119" s="1"/>
      <c r="B119" s="23"/>
      <c r="C119" s="20"/>
      <c r="D119" s="21"/>
      <c r="E119" s="21"/>
      <c r="F119" s="36"/>
      <c r="G119" s="1"/>
      <c r="H119" s="1"/>
      <c r="I119" s="1"/>
      <c r="J119" s="1"/>
      <c r="K119" s="1"/>
    </row>
    <row r="120" spans="1:11" ht="15.75" customHeight="1">
      <c r="A120" s="1"/>
      <c r="B120" s="23"/>
      <c r="C120" s="20"/>
      <c r="D120" s="21"/>
      <c r="E120" s="21"/>
      <c r="F120" s="36"/>
      <c r="G120" s="1"/>
      <c r="H120" s="1"/>
      <c r="I120" s="1"/>
      <c r="J120" s="1"/>
      <c r="K120" s="1"/>
    </row>
    <row r="121" spans="1:11" ht="15.75" customHeight="1">
      <c r="A121" s="1"/>
      <c r="B121" s="23"/>
      <c r="C121" s="20"/>
      <c r="D121" s="21"/>
      <c r="E121" s="21"/>
      <c r="F121" s="36"/>
      <c r="G121" s="1"/>
      <c r="H121" s="1"/>
      <c r="I121" s="1"/>
      <c r="J121" s="1"/>
      <c r="K121" s="1"/>
    </row>
    <row r="122" spans="1:11" ht="15.75" customHeight="1">
      <c r="A122" s="1"/>
      <c r="B122" s="23"/>
      <c r="C122" s="20"/>
      <c r="D122" s="21"/>
      <c r="E122" s="21"/>
      <c r="F122" s="36"/>
      <c r="G122" s="1"/>
      <c r="H122" s="1"/>
      <c r="I122" s="1"/>
      <c r="J122" s="1"/>
      <c r="K122" s="1"/>
    </row>
    <row r="123" spans="1:11" ht="15.75" customHeight="1">
      <c r="A123" s="1"/>
      <c r="B123" s="106"/>
      <c r="C123" s="20"/>
      <c r="D123" s="21"/>
      <c r="E123" s="21"/>
      <c r="F123" s="36"/>
      <c r="G123" s="1"/>
      <c r="H123" s="1"/>
      <c r="I123" s="1"/>
      <c r="J123" s="1"/>
      <c r="K123" s="1"/>
    </row>
    <row r="124" spans="1:11" ht="15.75" customHeight="1">
      <c r="A124" s="1"/>
      <c r="B124" s="23"/>
      <c r="C124" s="20"/>
      <c r="D124" s="21"/>
      <c r="E124" s="21"/>
      <c r="F124" s="36"/>
      <c r="G124" s="1"/>
      <c r="H124" s="1"/>
      <c r="I124" s="1"/>
      <c r="J124" s="1"/>
      <c r="K124" s="1"/>
    </row>
    <row r="125" spans="1:11" ht="15.75" customHeight="1">
      <c r="A125" s="1"/>
      <c r="B125" s="23"/>
      <c r="C125" s="20"/>
      <c r="D125" s="21"/>
      <c r="E125" s="21"/>
      <c r="F125" s="36"/>
      <c r="G125" s="1"/>
      <c r="H125" s="1"/>
      <c r="I125" s="1"/>
      <c r="J125" s="1"/>
      <c r="K125" s="1"/>
    </row>
    <row r="126" spans="1:11" ht="15.75" customHeight="1">
      <c r="A126" s="1"/>
      <c r="B126" s="23"/>
      <c r="C126" s="20"/>
      <c r="D126" s="21"/>
      <c r="E126" s="21"/>
      <c r="F126" s="36"/>
      <c r="G126" s="1"/>
      <c r="H126" s="1"/>
      <c r="I126" s="1"/>
      <c r="J126" s="1"/>
      <c r="K126" s="1"/>
    </row>
    <row r="127" spans="1:11" ht="15.75" customHeight="1">
      <c r="A127" s="1"/>
      <c r="B127" s="23"/>
      <c r="C127" s="20"/>
      <c r="D127" s="21"/>
      <c r="E127" s="21"/>
      <c r="F127" s="36"/>
      <c r="G127" s="1"/>
      <c r="H127" s="1"/>
      <c r="I127" s="1"/>
      <c r="J127" s="1"/>
      <c r="K127" s="1"/>
    </row>
    <row r="128" spans="1:11" ht="15.75" customHeight="1">
      <c r="A128" s="1"/>
      <c r="B128" s="23"/>
      <c r="C128" s="20"/>
      <c r="D128" s="21"/>
      <c r="E128" s="21"/>
      <c r="F128" s="36"/>
      <c r="G128" s="1"/>
      <c r="H128" s="1"/>
      <c r="I128" s="1"/>
      <c r="J128" s="1"/>
      <c r="K128" s="1"/>
    </row>
    <row r="129" spans="1:11" ht="15.75" customHeight="1">
      <c r="A129" s="1"/>
      <c r="B129" s="23"/>
      <c r="C129" s="20"/>
      <c r="D129" s="21"/>
      <c r="E129" s="21"/>
      <c r="F129" s="36"/>
      <c r="G129" s="1"/>
      <c r="H129" s="1"/>
      <c r="I129" s="1"/>
      <c r="J129" s="1"/>
      <c r="K129" s="1"/>
    </row>
    <row r="130" spans="1:11" ht="15.75" customHeight="1">
      <c r="A130" s="1"/>
      <c r="B130" s="23"/>
      <c r="C130" s="20"/>
      <c r="D130" s="21"/>
      <c r="E130" s="21"/>
      <c r="F130" s="36"/>
      <c r="G130" s="1"/>
      <c r="H130" s="1"/>
      <c r="I130" s="1"/>
      <c r="J130" s="1"/>
      <c r="K130" s="1"/>
    </row>
    <row r="131" spans="1:11" ht="15.75" customHeight="1">
      <c r="A131" s="1"/>
      <c r="B131" s="106"/>
      <c r="C131" s="20"/>
      <c r="D131" s="21"/>
      <c r="E131" s="21"/>
      <c r="F131" s="36"/>
      <c r="G131" s="1"/>
      <c r="H131" s="1"/>
      <c r="I131" s="1"/>
      <c r="J131" s="1"/>
      <c r="K131" s="1"/>
    </row>
    <row r="132" spans="1:11" ht="15.75" customHeight="1">
      <c r="A132" s="1"/>
      <c r="B132" s="23"/>
      <c r="C132" s="20"/>
      <c r="D132" s="21"/>
      <c r="E132" s="21"/>
      <c r="F132" s="36"/>
      <c r="G132" s="1"/>
      <c r="H132" s="1"/>
      <c r="I132" s="1"/>
      <c r="J132" s="1"/>
      <c r="K132" s="1"/>
    </row>
    <row r="133" spans="1:11" ht="15.75" customHeight="1">
      <c r="A133" s="1"/>
      <c r="B133" s="23"/>
      <c r="C133" s="20"/>
      <c r="D133" s="21"/>
      <c r="E133" s="21"/>
      <c r="F133" s="36"/>
      <c r="G133" s="1"/>
      <c r="H133" s="1"/>
      <c r="I133" s="1"/>
      <c r="J133" s="1"/>
      <c r="K133" s="1"/>
    </row>
    <row r="134" spans="1:11" ht="15.75" customHeight="1">
      <c r="A134" s="1"/>
      <c r="B134" s="23"/>
      <c r="C134" s="20"/>
      <c r="D134" s="21"/>
      <c r="E134" s="21"/>
      <c r="F134" s="36"/>
      <c r="G134" s="1"/>
      <c r="H134" s="1"/>
      <c r="I134" s="1"/>
      <c r="J134" s="1"/>
      <c r="K134" s="1"/>
    </row>
    <row r="135" spans="1:11" ht="15.75" customHeight="1">
      <c r="A135" s="1"/>
      <c r="B135" s="106"/>
      <c r="C135" s="20"/>
      <c r="D135" s="21"/>
      <c r="E135" s="21"/>
      <c r="F135" s="36"/>
      <c r="G135" s="1"/>
      <c r="H135" s="1"/>
      <c r="I135" s="1"/>
      <c r="J135" s="1"/>
      <c r="K135" s="1"/>
    </row>
    <row r="136" spans="1:11" ht="15.75" customHeight="1">
      <c r="A136" s="1"/>
      <c r="B136" s="106"/>
      <c r="C136" s="20"/>
      <c r="D136" s="21"/>
      <c r="E136" s="21"/>
      <c r="F136" s="36"/>
      <c r="G136" s="1"/>
      <c r="H136" s="1"/>
      <c r="I136" s="1"/>
      <c r="J136" s="1"/>
      <c r="K136" s="1"/>
    </row>
    <row r="137" spans="1:11" ht="15.75" customHeight="1">
      <c r="A137" s="1"/>
      <c r="B137" s="23"/>
      <c r="C137" s="20"/>
      <c r="D137" s="21"/>
      <c r="E137" s="21"/>
      <c r="F137" s="36"/>
      <c r="G137" s="1"/>
      <c r="H137" s="1"/>
      <c r="I137" s="1"/>
      <c r="J137" s="1"/>
      <c r="K137" s="1"/>
    </row>
    <row r="138" spans="1:11" ht="15.75" customHeight="1">
      <c r="A138" s="1"/>
      <c r="B138" s="106"/>
      <c r="C138" s="20"/>
      <c r="D138" s="21"/>
      <c r="E138" s="21"/>
      <c r="F138" s="36"/>
      <c r="G138" s="1"/>
      <c r="H138" s="1"/>
      <c r="I138" s="1"/>
      <c r="J138" s="1"/>
      <c r="K138" s="1"/>
    </row>
    <row r="139" spans="1:11" ht="15.75" customHeight="1">
      <c r="A139" s="1"/>
      <c r="B139" s="23"/>
      <c r="C139" s="20"/>
      <c r="D139" s="21"/>
      <c r="E139" s="21"/>
      <c r="F139" s="36"/>
      <c r="G139" s="1"/>
      <c r="H139" s="1"/>
      <c r="I139" s="1"/>
      <c r="J139" s="1"/>
      <c r="K139" s="1"/>
    </row>
    <row r="140" spans="1:11" ht="15.75" customHeight="1">
      <c r="A140" s="1"/>
      <c r="B140" s="23"/>
      <c r="C140" s="20"/>
      <c r="D140" s="21"/>
      <c r="E140" s="21"/>
      <c r="F140" s="36"/>
      <c r="G140" s="1"/>
      <c r="H140" s="1"/>
      <c r="I140" s="1"/>
      <c r="J140" s="1"/>
      <c r="K140" s="1"/>
    </row>
    <row r="141" spans="1:11" ht="15.75" customHeight="1">
      <c r="A141" s="1"/>
      <c r="B141" s="23"/>
      <c r="C141" s="20"/>
      <c r="D141" s="21"/>
      <c r="E141" s="21"/>
      <c r="F141" s="36"/>
      <c r="G141" s="1"/>
      <c r="H141" s="1"/>
      <c r="I141" s="1"/>
      <c r="J141" s="1"/>
      <c r="K141" s="1"/>
    </row>
    <row r="142" spans="1:11" ht="15.75" customHeight="1">
      <c r="A142" s="1"/>
      <c r="B142" s="23"/>
      <c r="C142" s="20"/>
      <c r="D142" s="21"/>
      <c r="E142" s="21"/>
      <c r="F142" s="36"/>
      <c r="G142" s="1"/>
      <c r="H142" s="1"/>
      <c r="I142" s="1"/>
      <c r="J142" s="1"/>
      <c r="K142" s="1"/>
    </row>
    <row r="143" spans="1:11" ht="15.75" customHeight="1">
      <c r="A143" s="1"/>
      <c r="B143" s="23"/>
      <c r="C143" s="20"/>
      <c r="D143" s="21"/>
      <c r="E143" s="21"/>
      <c r="F143" s="36"/>
      <c r="G143" s="1"/>
      <c r="H143" s="1"/>
      <c r="I143" s="1"/>
      <c r="J143" s="1"/>
      <c r="K143" s="1"/>
    </row>
    <row r="144" spans="1:11" ht="15.75" customHeight="1">
      <c r="A144" s="1"/>
      <c r="B144" s="23"/>
      <c r="C144" s="20"/>
      <c r="D144" s="21"/>
      <c r="E144" s="21"/>
      <c r="F144" s="36"/>
      <c r="G144" s="1"/>
      <c r="H144" s="1"/>
      <c r="I144" s="1"/>
      <c r="J144" s="1"/>
      <c r="K144" s="1"/>
    </row>
    <row r="145" spans="1:11" ht="15.75" customHeight="1">
      <c r="A145" s="1"/>
      <c r="B145" s="23"/>
      <c r="C145" s="20"/>
      <c r="D145" s="21"/>
      <c r="E145" s="21"/>
      <c r="F145" s="36"/>
      <c r="G145" s="1"/>
      <c r="H145" s="1"/>
      <c r="I145" s="1"/>
      <c r="J145" s="1"/>
      <c r="K145" s="1"/>
    </row>
    <row r="146" spans="1:11" ht="15.75" customHeight="1">
      <c r="A146" s="1"/>
      <c r="B146" s="23"/>
      <c r="C146" s="20"/>
      <c r="D146" s="21"/>
      <c r="E146" s="21"/>
      <c r="F146" s="36"/>
      <c r="G146" s="1"/>
      <c r="H146" s="1"/>
      <c r="I146" s="1"/>
      <c r="J146" s="1"/>
      <c r="K146" s="1"/>
    </row>
    <row r="147" spans="1:11" ht="15.75" customHeight="1">
      <c r="A147" s="1"/>
      <c r="B147" s="106"/>
      <c r="C147" s="20"/>
      <c r="D147" s="21"/>
      <c r="E147" s="21"/>
      <c r="F147" s="36"/>
      <c r="G147" s="1"/>
      <c r="H147" s="1"/>
      <c r="I147" s="1"/>
      <c r="J147" s="1"/>
      <c r="K147" s="1"/>
    </row>
    <row r="148" spans="1:11" ht="15.75" customHeight="1">
      <c r="A148" s="1"/>
      <c r="B148" s="106"/>
      <c r="C148" s="20"/>
      <c r="D148" s="21"/>
      <c r="E148" s="21"/>
      <c r="F148" s="36"/>
      <c r="G148" s="1"/>
      <c r="H148" s="1"/>
      <c r="I148" s="1"/>
      <c r="J148" s="1"/>
      <c r="K148" s="1"/>
    </row>
    <row r="149" spans="1:11" ht="15.75" customHeight="1">
      <c r="A149" s="1"/>
      <c r="B149" s="23"/>
      <c r="C149" s="20"/>
      <c r="D149" s="21"/>
      <c r="E149" s="21"/>
      <c r="F149" s="36"/>
      <c r="G149" s="1"/>
      <c r="H149" s="1"/>
      <c r="I149" s="1"/>
      <c r="J149" s="1"/>
      <c r="K149" s="1"/>
    </row>
    <row r="150" spans="1:11" ht="15.75" customHeight="1">
      <c r="A150" s="1"/>
      <c r="B150" s="23"/>
      <c r="C150" s="20"/>
      <c r="D150" s="21"/>
      <c r="E150" s="21"/>
      <c r="F150" s="36"/>
      <c r="G150" s="1"/>
      <c r="H150" s="1"/>
      <c r="I150" s="1"/>
      <c r="J150" s="1"/>
      <c r="K150" s="1"/>
    </row>
    <row r="151" spans="1:11" ht="15.75" customHeight="1">
      <c r="A151" s="1"/>
      <c r="B151" s="23"/>
      <c r="C151" s="20"/>
      <c r="D151" s="21"/>
      <c r="E151" s="21"/>
      <c r="F151" s="36"/>
      <c r="G151" s="1"/>
      <c r="H151" s="1"/>
      <c r="I151" s="1"/>
      <c r="J151" s="1"/>
      <c r="K151" s="1"/>
    </row>
    <row r="152" spans="1:11" ht="15.75" customHeight="1">
      <c r="A152" s="1"/>
      <c r="B152" s="23"/>
      <c r="C152" s="20"/>
      <c r="D152" s="21"/>
      <c r="E152" s="21"/>
      <c r="F152" s="36"/>
      <c r="G152" s="1"/>
      <c r="H152" s="1"/>
      <c r="I152" s="1"/>
      <c r="J152" s="1"/>
      <c r="K152" s="1"/>
    </row>
    <row r="153" spans="1:11" ht="15.75" customHeight="1">
      <c r="A153" s="1"/>
      <c r="B153" s="116"/>
      <c r="C153" s="20"/>
      <c r="D153" s="21"/>
      <c r="E153" s="21"/>
      <c r="F153" s="36"/>
      <c r="G153" s="1"/>
      <c r="H153" s="1"/>
      <c r="I153" s="1"/>
      <c r="J153" s="1"/>
      <c r="K153" s="1"/>
    </row>
    <row r="154" spans="1:11" ht="15.75" customHeight="1">
      <c r="A154" s="1"/>
      <c r="B154" s="23"/>
      <c r="C154" s="20"/>
      <c r="D154" s="21"/>
      <c r="E154" s="21"/>
      <c r="F154" s="36"/>
      <c r="G154" s="1"/>
      <c r="H154" s="1"/>
      <c r="I154" s="1"/>
      <c r="J154" s="1"/>
      <c r="K154" s="1"/>
    </row>
    <row r="155" spans="1:11" ht="15.75" customHeight="1">
      <c r="A155" s="1"/>
      <c r="B155" s="106"/>
      <c r="C155" s="20"/>
      <c r="D155" s="21"/>
      <c r="E155" s="21"/>
      <c r="F155" s="36"/>
      <c r="G155" s="1"/>
      <c r="H155" s="1"/>
      <c r="I155" s="1"/>
      <c r="J155" s="1"/>
      <c r="K155" s="1"/>
    </row>
    <row r="156" spans="1:11" ht="15.75" customHeight="1">
      <c r="A156" s="1"/>
      <c r="B156" s="106"/>
      <c r="C156" s="20"/>
      <c r="D156" s="21"/>
      <c r="E156" s="21"/>
      <c r="F156" s="36"/>
      <c r="G156" s="1"/>
      <c r="H156" s="1"/>
      <c r="I156" s="1"/>
      <c r="J156" s="1"/>
      <c r="K156" s="1"/>
    </row>
    <row r="157" spans="1:11" ht="15.75" customHeight="1">
      <c r="A157" s="1"/>
      <c r="B157" s="23"/>
      <c r="C157" s="20"/>
      <c r="D157" s="21"/>
      <c r="E157" s="21"/>
      <c r="F157" s="36"/>
      <c r="G157" s="1"/>
      <c r="H157" s="1"/>
      <c r="I157" s="1"/>
      <c r="J157" s="1"/>
      <c r="K157" s="1"/>
    </row>
    <row r="158" spans="1:11" ht="15.75" customHeight="1">
      <c r="A158" s="1"/>
      <c r="B158" s="23"/>
      <c r="C158" s="20"/>
      <c r="D158" s="21"/>
      <c r="E158" s="21"/>
      <c r="F158" s="36"/>
      <c r="G158" s="1"/>
      <c r="H158" s="1"/>
      <c r="I158" s="1"/>
      <c r="J158" s="1"/>
      <c r="K158" s="1"/>
    </row>
    <row r="159" spans="1:11" ht="15.75" customHeight="1">
      <c r="A159" s="1"/>
      <c r="B159" s="23"/>
      <c r="C159" s="20"/>
      <c r="D159" s="21"/>
      <c r="E159" s="21"/>
      <c r="F159" s="36"/>
      <c r="G159" s="1"/>
      <c r="H159" s="1"/>
      <c r="I159" s="1"/>
      <c r="J159" s="1"/>
      <c r="K159" s="1"/>
    </row>
    <row r="160" spans="1:11" ht="15.75" customHeight="1">
      <c r="A160" s="1"/>
      <c r="B160" s="23"/>
      <c r="C160" s="20"/>
      <c r="D160" s="21"/>
      <c r="E160" s="21"/>
      <c r="F160" s="36"/>
      <c r="G160" s="1"/>
      <c r="H160" s="1"/>
      <c r="I160" s="1"/>
      <c r="J160" s="1"/>
      <c r="K160" s="1"/>
    </row>
    <row r="161" spans="1:11" ht="15.75" customHeight="1">
      <c r="A161" s="1"/>
      <c r="B161" s="23"/>
      <c r="C161" s="20"/>
      <c r="D161" s="21"/>
      <c r="E161" s="21"/>
      <c r="F161" s="36"/>
      <c r="G161" s="1"/>
      <c r="H161" s="1"/>
      <c r="I161" s="1"/>
      <c r="J161" s="1"/>
      <c r="K161" s="1"/>
    </row>
    <row r="162" spans="1:11" ht="15.75" customHeight="1">
      <c r="A162" s="1"/>
      <c r="B162" s="23"/>
      <c r="C162" s="20"/>
      <c r="D162" s="21"/>
      <c r="E162" s="21"/>
      <c r="F162" s="36"/>
      <c r="G162" s="1"/>
      <c r="H162" s="1"/>
      <c r="I162" s="1"/>
      <c r="J162" s="1"/>
      <c r="K162" s="1"/>
    </row>
    <row r="163" spans="1:11" ht="15.75" customHeight="1">
      <c r="A163" s="1"/>
      <c r="B163" s="23"/>
      <c r="C163" s="20"/>
      <c r="D163" s="21"/>
      <c r="E163" s="21"/>
      <c r="F163" s="36"/>
      <c r="G163" s="1"/>
      <c r="H163" s="1"/>
      <c r="I163" s="1"/>
      <c r="J163" s="1"/>
      <c r="K163" s="1"/>
    </row>
    <row r="164" spans="1:11" ht="15.75" customHeight="1">
      <c r="A164" s="1"/>
      <c r="B164" s="23"/>
      <c r="C164" s="20"/>
      <c r="D164" s="21"/>
      <c r="E164" s="21"/>
      <c r="F164" s="36"/>
      <c r="G164" s="1"/>
      <c r="H164" s="1"/>
      <c r="I164" s="1"/>
      <c r="J164" s="1"/>
      <c r="K164" s="1"/>
    </row>
    <row r="165" spans="1:11" ht="15.75" customHeight="1">
      <c r="A165" s="1"/>
      <c r="B165" s="23"/>
      <c r="C165" s="20"/>
      <c r="D165" s="21"/>
      <c r="E165" s="21"/>
      <c r="F165" s="36"/>
      <c r="G165" s="1"/>
      <c r="H165" s="1"/>
      <c r="I165" s="1"/>
      <c r="J165" s="1"/>
      <c r="K165" s="1"/>
    </row>
    <row r="166" spans="1:11" ht="15.75" customHeight="1">
      <c r="A166" s="1"/>
      <c r="B166" s="23"/>
      <c r="C166" s="20"/>
      <c r="D166" s="21"/>
      <c r="E166" s="21"/>
      <c r="F166" s="36"/>
      <c r="G166" s="1"/>
      <c r="H166" s="1"/>
      <c r="I166" s="1"/>
      <c r="J166" s="1"/>
      <c r="K166" s="1"/>
    </row>
    <row r="167" spans="1:11" ht="15.75" customHeight="1">
      <c r="A167" s="1"/>
      <c r="B167" s="23"/>
      <c r="C167" s="20"/>
      <c r="D167" s="21"/>
      <c r="E167" s="21"/>
      <c r="F167" s="36"/>
      <c r="G167" s="1"/>
      <c r="H167" s="1"/>
      <c r="I167" s="1"/>
      <c r="J167" s="1"/>
      <c r="K167" s="1"/>
    </row>
    <row r="168" spans="1:11" ht="15.75" customHeight="1">
      <c r="A168" s="1"/>
      <c r="B168" s="23"/>
      <c r="C168" s="20"/>
      <c r="D168" s="21"/>
      <c r="E168" s="21"/>
      <c r="F168" s="36"/>
      <c r="G168" s="1"/>
      <c r="H168" s="1"/>
      <c r="I168" s="1"/>
      <c r="J168" s="1"/>
      <c r="K168" s="1"/>
    </row>
    <row r="169" spans="1:11" ht="15.75" customHeight="1">
      <c r="A169" s="1"/>
      <c r="B169" s="23"/>
      <c r="C169" s="20"/>
      <c r="D169" s="21"/>
      <c r="E169" s="21"/>
      <c r="F169" s="36"/>
      <c r="G169" s="1"/>
      <c r="H169" s="1"/>
      <c r="I169" s="1"/>
      <c r="J169" s="1"/>
      <c r="K169" s="1"/>
    </row>
    <row r="170" spans="1:11" ht="15.75" customHeight="1">
      <c r="A170" s="1"/>
      <c r="B170" s="23"/>
      <c r="C170" s="20"/>
      <c r="D170" s="21"/>
      <c r="E170" s="21"/>
      <c r="F170" s="36"/>
      <c r="G170" s="1"/>
      <c r="H170" s="1"/>
      <c r="I170" s="1"/>
      <c r="J170" s="1"/>
      <c r="K170" s="1"/>
    </row>
    <row r="171" spans="1:11" ht="15.75" customHeight="1">
      <c r="A171" s="1"/>
      <c r="B171" s="23"/>
      <c r="C171" s="20"/>
      <c r="D171" s="21"/>
      <c r="E171" s="21"/>
      <c r="F171" s="36"/>
      <c r="G171" s="1"/>
      <c r="H171" s="1"/>
      <c r="I171" s="1"/>
      <c r="J171" s="1"/>
      <c r="K171" s="1"/>
    </row>
    <row r="172" spans="1:11" ht="15.75" customHeight="1">
      <c r="A172" s="1"/>
      <c r="B172" s="23"/>
      <c r="C172" s="20"/>
      <c r="D172" s="21"/>
      <c r="E172" s="21"/>
      <c r="F172" s="36"/>
      <c r="G172" s="1"/>
      <c r="H172" s="1"/>
      <c r="I172" s="1"/>
      <c r="J172" s="1"/>
      <c r="K172" s="1"/>
    </row>
    <row r="173" spans="1:11" ht="15.75" customHeight="1">
      <c r="A173" s="1"/>
      <c r="B173" s="23"/>
      <c r="C173" s="20"/>
      <c r="D173" s="21"/>
      <c r="E173" s="21"/>
      <c r="F173" s="36"/>
      <c r="G173" s="1"/>
      <c r="H173" s="1"/>
      <c r="I173" s="1"/>
      <c r="J173" s="1"/>
      <c r="K173" s="1"/>
    </row>
    <row r="174" spans="1:11" ht="15.75" customHeight="1">
      <c r="A174" s="1"/>
      <c r="B174" s="23"/>
      <c r="C174" s="20"/>
      <c r="D174" s="21"/>
      <c r="E174" s="21"/>
      <c r="F174" s="36"/>
      <c r="G174" s="1"/>
      <c r="H174" s="1"/>
      <c r="I174" s="1"/>
      <c r="J174" s="1"/>
      <c r="K174" s="1"/>
    </row>
    <row r="175" spans="1:11" ht="15.75" customHeight="1">
      <c r="A175" s="1"/>
      <c r="B175" s="23"/>
      <c r="C175" s="20"/>
      <c r="D175" s="21"/>
      <c r="E175" s="21"/>
      <c r="F175" s="36"/>
      <c r="G175" s="1"/>
      <c r="H175" s="1"/>
      <c r="I175" s="1"/>
      <c r="J175" s="1"/>
      <c r="K175" s="1"/>
    </row>
    <row r="176" spans="1:11" ht="15.75" customHeight="1">
      <c r="A176" s="1"/>
      <c r="B176" s="23"/>
      <c r="C176" s="20"/>
      <c r="D176" s="21"/>
      <c r="E176" s="21"/>
      <c r="F176" s="36"/>
      <c r="G176" s="1"/>
      <c r="H176" s="1"/>
      <c r="I176" s="1"/>
      <c r="J176" s="1"/>
      <c r="K176" s="1"/>
    </row>
    <row r="177" spans="1:11" ht="15.75" customHeight="1">
      <c r="A177" s="1"/>
      <c r="B177" s="23"/>
      <c r="C177" s="20"/>
      <c r="D177" s="21"/>
      <c r="E177" s="21"/>
      <c r="F177" s="36"/>
      <c r="G177" s="1"/>
      <c r="H177" s="1"/>
      <c r="I177" s="1"/>
      <c r="J177" s="1"/>
      <c r="K177" s="1"/>
    </row>
    <row r="178" spans="1:11" ht="15.75" customHeight="1">
      <c r="A178" s="1"/>
      <c r="B178" s="23"/>
      <c r="C178" s="20"/>
      <c r="D178" s="21"/>
      <c r="E178" s="21"/>
      <c r="F178" s="36"/>
      <c r="G178" s="1"/>
      <c r="H178" s="1"/>
      <c r="I178" s="1"/>
      <c r="J178" s="1"/>
      <c r="K178" s="1"/>
    </row>
    <row r="179" spans="1:11" ht="15.75" customHeight="1">
      <c r="A179" s="1"/>
      <c r="B179" s="23"/>
      <c r="C179" s="20"/>
      <c r="D179" s="21"/>
      <c r="E179" s="21"/>
      <c r="F179" s="36"/>
      <c r="G179" s="1"/>
      <c r="H179" s="1"/>
      <c r="I179" s="1"/>
      <c r="J179" s="1"/>
      <c r="K179" s="1"/>
    </row>
    <row r="180" spans="1:11" ht="15.75" customHeight="1">
      <c r="A180" s="1"/>
      <c r="B180" s="23"/>
      <c r="C180" s="20"/>
      <c r="D180" s="21"/>
      <c r="E180" s="21"/>
      <c r="F180" s="36"/>
      <c r="G180" s="1"/>
      <c r="H180" s="1"/>
      <c r="I180" s="1"/>
      <c r="J180" s="1"/>
      <c r="K180" s="1"/>
    </row>
    <row r="181" spans="1:11" ht="15.75" customHeight="1">
      <c r="A181" s="1"/>
      <c r="B181" s="23"/>
      <c r="C181" s="20"/>
      <c r="D181" s="21"/>
      <c r="E181" s="21"/>
      <c r="F181" s="36"/>
      <c r="G181" s="1"/>
      <c r="H181" s="1"/>
      <c r="I181" s="1"/>
      <c r="J181" s="1"/>
      <c r="K181" s="1"/>
    </row>
    <row r="182" spans="1:11" ht="15.75" customHeight="1">
      <c r="A182" s="1"/>
      <c r="B182" s="23"/>
      <c r="C182" s="20"/>
      <c r="D182" s="21"/>
      <c r="E182" s="21"/>
      <c r="F182" s="36"/>
      <c r="G182" s="1"/>
      <c r="H182" s="1"/>
      <c r="I182" s="1"/>
      <c r="J182" s="1"/>
      <c r="K182" s="1"/>
    </row>
    <row r="183" spans="1:11" ht="15.75" customHeight="1">
      <c r="A183" s="1"/>
      <c r="B183" s="106"/>
      <c r="C183" s="20"/>
      <c r="D183" s="21"/>
      <c r="E183" s="21"/>
      <c r="F183" s="36"/>
      <c r="G183" s="1"/>
      <c r="H183" s="1"/>
      <c r="I183" s="1"/>
      <c r="J183" s="1"/>
      <c r="K183" s="1"/>
    </row>
    <row r="184" spans="1:11" ht="15.75" customHeight="1">
      <c r="A184" s="1"/>
      <c r="B184" s="23"/>
      <c r="C184" s="20"/>
      <c r="D184" s="21"/>
      <c r="E184" s="21"/>
      <c r="F184" s="36"/>
      <c r="G184" s="1"/>
      <c r="H184" s="1"/>
      <c r="I184" s="1"/>
      <c r="J184" s="1"/>
      <c r="K184" s="1"/>
    </row>
    <row r="185" spans="1:11" ht="15.75" customHeight="1">
      <c r="A185" s="1"/>
      <c r="B185" s="23"/>
      <c r="C185" s="20"/>
      <c r="D185" s="21"/>
      <c r="E185" s="21"/>
      <c r="F185" s="36"/>
      <c r="G185" s="1"/>
      <c r="H185" s="1"/>
      <c r="I185" s="1"/>
      <c r="J185" s="1"/>
      <c r="K185" s="1"/>
    </row>
    <row r="186" spans="1:11" ht="15.75" customHeight="1">
      <c r="A186" s="1"/>
      <c r="B186" s="23"/>
      <c r="C186" s="20"/>
      <c r="D186" s="21"/>
      <c r="E186" s="21"/>
      <c r="F186" s="36"/>
      <c r="G186" s="1"/>
      <c r="H186" s="1"/>
      <c r="I186" s="1"/>
      <c r="J186" s="1"/>
      <c r="K186" s="1"/>
    </row>
    <row r="187" spans="1:11" ht="15.75" customHeight="1">
      <c r="A187" s="1"/>
      <c r="B187" s="23"/>
      <c r="C187" s="20"/>
      <c r="D187" s="21"/>
      <c r="E187" s="21"/>
      <c r="F187" s="36"/>
      <c r="G187" s="1"/>
      <c r="H187" s="1"/>
      <c r="I187" s="1"/>
      <c r="J187" s="1"/>
      <c r="K187" s="1"/>
    </row>
    <row r="188" spans="1:11" ht="15.75" customHeight="1">
      <c r="A188" s="1"/>
      <c r="B188" s="23"/>
      <c r="C188" s="20"/>
      <c r="D188" s="21"/>
      <c r="E188" s="21"/>
      <c r="F188" s="36"/>
      <c r="G188" s="1"/>
      <c r="H188" s="1"/>
      <c r="I188" s="1"/>
      <c r="J188" s="1"/>
      <c r="K188" s="1"/>
    </row>
    <row r="189" spans="1:11" ht="15.75" customHeight="1">
      <c r="A189" s="1"/>
      <c r="B189" s="71"/>
      <c r="C189" s="20"/>
      <c r="D189" s="21"/>
      <c r="E189" s="21"/>
      <c r="F189" s="36"/>
      <c r="G189" s="1"/>
      <c r="H189" s="1"/>
      <c r="I189" s="1"/>
      <c r="J189" s="1"/>
      <c r="K189" s="1"/>
    </row>
    <row r="190" spans="1:11" ht="15.75" customHeight="1">
      <c r="A190" s="1"/>
      <c r="B190" s="23"/>
      <c r="C190" s="20"/>
      <c r="D190" s="21"/>
      <c r="E190" s="21"/>
      <c r="F190" s="36"/>
      <c r="G190" s="1"/>
      <c r="H190" s="1"/>
      <c r="I190" s="1"/>
      <c r="J190" s="1"/>
      <c r="K190" s="1"/>
    </row>
    <row r="191" spans="1:11" ht="15.75" customHeight="1">
      <c r="A191" s="1"/>
      <c r="B191" s="23"/>
      <c r="C191" s="20"/>
      <c r="D191" s="21"/>
      <c r="E191" s="21"/>
      <c r="F191" s="36"/>
      <c r="G191" s="1"/>
      <c r="H191" s="1"/>
      <c r="I191" s="1"/>
      <c r="J191" s="1"/>
      <c r="K191" s="1"/>
    </row>
    <row r="192" spans="1:11" ht="15.75" customHeight="1">
      <c r="A192" s="1"/>
      <c r="B192" s="23"/>
      <c r="C192" s="20"/>
      <c r="D192" s="21"/>
      <c r="E192" s="21"/>
      <c r="F192" s="36"/>
      <c r="G192" s="1"/>
      <c r="H192" s="1"/>
      <c r="I192" s="1"/>
      <c r="J192" s="1"/>
      <c r="K192" s="1"/>
    </row>
    <row r="193" spans="1:11" ht="15.75" customHeight="1">
      <c r="A193" s="1"/>
      <c r="B193" s="23"/>
      <c r="C193" s="20"/>
      <c r="D193" s="21"/>
      <c r="E193" s="21"/>
      <c r="F193" s="36"/>
      <c r="G193" s="1"/>
      <c r="H193" s="1"/>
      <c r="I193" s="1"/>
      <c r="J193" s="1"/>
      <c r="K193" s="1"/>
    </row>
    <row r="194" spans="1:11" ht="15.75" customHeight="1">
      <c r="A194" s="1"/>
      <c r="B194" s="23"/>
      <c r="C194" s="20"/>
      <c r="D194" s="21"/>
      <c r="E194" s="21"/>
      <c r="F194" s="36"/>
      <c r="G194" s="1"/>
      <c r="H194" s="1"/>
      <c r="I194" s="1"/>
      <c r="J194" s="1"/>
      <c r="K194" s="1"/>
    </row>
    <row r="195" spans="1:11" ht="15.75" customHeight="1">
      <c r="A195" s="1"/>
      <c r="B195" s="23"/>
      <c r="C195" s="20"/>
      <c r="D195" s="21"/>
      <c r="E195" s="21"/>
      <c r="F195" s="36"/>
      <c r="G195" s="1"/>
      <c r="H195" s="1"/>
      <c r="I195" s="1"/>
      <c r="J195" s="1"/>
      <c r="K195" s="1"/>
    </row>
    <row r="196" spans="1:11" ht="15.75" customHeight="1">
      <c r="A196" s="39"/>
      <c r="B196" s="23"/>
      <c r="C196" s="20"/>
      <c r="D196" s="21"/>
      <c r="E196" s="21"/>
      <c r="F196" s="36"/>
      <c r="G196" s="1"/>
      <c r="H196" s="1"/>
      <c r="I196" s="1"/>
      <c r="J196" s="1"/>
      <c r="K196" s="1"/>
    </row>
    <row r="197" spans="1:11" ht="15.75" customHeight="1">
      <c r="A197" s="1"/>
      <c r="B197" s="23"/>
      <c r="C197" s="20"/>
      <c r="D197" s="21"/>
      <c r="E197" s="21"/>
      <c r="F197" s="36"/>
      <c r="G197" s="1"/>
      <c r="H197" s="1"/>
      <c r="I197" s="1"/>
      <c r="J197" s="1"/>
      <c r="K197" s="1"/>
    </row>
    <row r="198" spans="1:11" ht="15.75" customHeight="1">
      <c r="A198" s="1"/>
      <c r="B198" s="23"/>
      <c r="C198" s="20"/>
      <c r="D198" s="21"/>
      <c r="E198" s="21"/>
      <c r="F198" s="36"/>
      <c r="G198" s="1"/>
      <c r="H198" s="1"/>
      <c r="I198" s="1"/>
      <c r="J198" s="1"/>
      <c r="K198" s="1"/>
    </row>
    <row r="199" spans="1:11" ht="15.75" customHeight="1">
      <c r="A199" s="1"/>
      <c r="B199" s="116"/>
      <c r="C199" s="20"/>
      <c r="D199" s="21"/>
      <c r="E199" s="21"/>
      <c r="F199" s="36"/>
      <c r="G199" s="1"/>
      <c r="H199" s="1"/>
      <c r="I199" s="1"/>
      <c r="J199" s="1"/>
      <c r="K199" s="1"/>
    </row>
    <row r="200" spans="1:11" ht="15.75" customHeight="1">
      <c r="A200" s="1"/>
      <c r="B200" s="23"/>
      <c r="C200" s="20"/>
      <c r="D200" s="21"/>
      <c r="E200" s="21"/>
      <c r="F200" s="36"/>
      <c r="G200" s="1"/>
      <c r="H200" s="1"/>
      <c r="I200" s="1"/>
      <c r="J200" s="1"/>
      <c r="K200" s="1"/>
    </row>
    <row r="201" spans="1:11" ht="15.75" customHeight="1">
      <c r="A201" s="1"/>
      <c r="B201" s="23"/>
      <c r="C201" s="20"/>
      <c r="D201" s="21"/>
      <c r="E201" s="21"/>
      <c r="F201" s="36"/>
      <c r="G201" s="1"/>
      <c r="H201" s="1"/>
      <c r="I201" s="1"/>
      <c r="J201" s="1"/>
      <c r="K201" s="1"/>
    </row>
    <row r="202" spans="1:11" ht="15.75" customHeight="1">
      <c r="A202" s="1"/>
      <c r="B202" s="23"/>
      <c r="C202" s="20"/>
      <c r="D202" s="21"/>
      <c r="E202" s="21"/>
      <c r="F202" s="36"/>
      <c r="G202" s="1"/>
      <c r="H202" s="1"/>
      <c r="I202" s="1"/>
      <c r="J202" s="1"/>
      <c r="K202" s="1"/>
    </row>
    <row r="203" spans="1:11" ht="15.75" customHeight="1">
      <c r="A203" s="1"/>
      <c r="B203" s="23"/>
      <c r="C203" s="20"/>
      <c r="D203" s="21"/>
      <c r="E203" s="21"/>
      <c r="F203" s="36"/>
      <c r="G203" s="1"/>
      <c r="H203" s="1"/>
      <c r="I203" s="1"/>
      <c r="J203" s="1"/>
      <c r="K203" s="1"/>
    </row>
    <row r="204" spans="1:11" ht="15.75" customHeight="1">
      <c r="A204" s="1"/>
      <c r="B204" s="23"/>
      <c r="C204" s="20"/>
      <c r="D204" s="21"/>
      <c r="E204" s="21"/>
      <c r="F204" s="36"/>
      <c r="G204" s="1"/>
      <c r="H204" s="1"/>
      <c r="I204" s="1"/>
      <c r="J204" s="1"/>
      <c r="K204" s="1"/>
    </row>
    <row r="205" spans="1:11" ht="15.75" customHeight="1">
      <c r="A205" s="1"/>
      <c r="B205" s="23"/>
      <c r="C205" s="20"/>
      <c r="D205" s="21"/>
      <c r="E205" s="21"/>
      <c r="F205" s="36"/>
      <c r="G205" s="1"/>
      <c r="H205" s="1"/>
      <c r="I205" s="1"/>
      <c r="J205" s="1"/>
      <c r="K205" s="1"/>
    </row>
    <row r="206" spans="1:11" ht="15.75" customHeight="1">
      <c r="A206" s="1"/>
      <c r="B206" s="23"/>
      <c r="C206" s="20"/>
      <c r="D206" s="21"/>
      <c r="E206" s="21"/>
      <c r="F206" s="36"/>
      <c r="G206" s="1"/>
      <c r="H206" s="1"/>
      <c r="I206" s="1"/>
      <c r="J206" s="1"/>
      <c r="K206" s="1"/>
    </row>
    <row r="207" spans="1:11" ht="15.75" customHeight="1">
      <c r="A207" s="1"/>
      <c r="B207" s="106"/>
      <c r="C207" s="20"/>
      <c r="D207" s="21"/>
      <c r="E207" s="21"/>
      <c r="F207" s="36"/>
      <c r="G207" s="1"/>
      <c r="H207" s="1"/>
      <c r="I207" s="1"/>
      <c r="J207" s="1"/>
      <c r="K207" s="1"/>
    </row>
    <row r="208" spans="1:11" ht="15.75" customHeight="1">
      <c r="A208" s="1"/>
      <c r="B208" s="23"/>
      <c r="C208" s="20"/>
      <c r="D208" s="21"/>
      <c r="E208" s="21"/>
      <c r="F208" s="36"/>
      <c r="G208" s="1"/>
      <c r="H208" s="1"/>
      <c r="I208" s="1"/>
      <c r="J208" s="1"/>
      <c r="K208" s="1"/>
    </row>
    <row r="209" spans="1:11" ht="15.75" customHeight="1">
      <c r="A209" s="1"/>
      <c r="B209" s="23"/>
      <c r="C209" s="20"/>
      <c r="D209" s="21"/>
      <c r="E209" s="21"/>
      <c r="F209" s="36"/>
      <c r="G209" s="1"/>
      <c r="H209" s="1"/>
      <c r="I209" s="1"/>
      <c r="J209" s="1"/>
      <c r="K209" s="1"/>
    </row>
    <row r="210" spans="1:11" ht="15.75" customHeight="1">
      <c r="A210" s="1"/>
      <c r="B210" s="117"/>
      <c r="C210" s="20"/>
      <c r="D210" s="21"/>
      <c r="E210" s="21"/>
      <c r="F210" s="36"/>
      <c r="G210" s="1"/>
      <c r="H210" s="1"/>
      <c r="I210" s="1"/>
      <c r="J210" s="1"/>
      <c r="K210" s="1"/>
    </row>
    <row r="211" spans="1:11" ht="15.75" customHeight="1">
      <c r="A211" s="1"/>
      <c r="B211" s="23"/>
      <c r="C211" s="20"/>
      <c r="D211" s="21"/>
      <c r="E211" s="21"/>
      <c r="F211" s="36"/>
      <c r="G211" s="1"/>
      <c r="H211" s="1"/>
      <c r="I211" s="1"/>
      <c r="J211" s="1"/>
      <c r="K211" s="1"/>
    </row>
    <row r="212" spans="1:11" ht="15.75" customHeight="1">
      <c r="A212" s="1"/>
      <c r="B212" s="23"/>
      <c r="C212" s="20"/>
      <c r="D212" s="21"/>
      <c r="E212" s="21"/>
      <c r="F212" s="36"/>
      <c r="G212" s="1"/>
      <c r="H212" s="1"/>
      <c r="I212" s="1"/>
      <c r="J212" s="1"/>
      <c r="K212" s="1"/>
    </row>
    <row r="213" spans="1:11" ht="15.75" customHeight="1">
      <c r="A213" s="1"/>
      <c r="B213" s="23"/>
      <c r="C213" s="20"/>
      <c r="D213" s="21"/>
      <c r="E213" s="21"/>
      <c r="F213" s="36"/>
      <c r="G213" s="1"/>
      <c r="H213" s="1"/>
      <c r="I213" s="1"/>
      <c r="J213" s="1"/>
      <c r="K213" s="1"/>
    </row>
    <row r="214" spans="1:11" ht="15.75" customHeight="1">
      <c r="A214" s="1"/>
      <c r="B214" s="106"/>
      <c r="C214" s="20"/>
      <c r="D214" s="21"/>
      <c r="E214" s="21"/>
      <c r="F214" s="36"/>
      <c r="G214" s="1"/>
      <c r="H214" s="1"/>
      <c r="I214" s="1"/>
      <c r="J214" s="1"/>
      <c r="K214" s="1"/>
    </row>
    <row r="215" spans="1:11" ht="15.75" customHeight="1">
      <c r="A215" s="1"/>
      <c r="B215" s="23"/>
      <c r="C215" s="20"/>
      <c r="D215" s="21"/>
      <c r="E215" s="21"/>
      <c r="F215" s="36"/>
      <c r="G215" s="1"/>
      <c r="H215" s="1"/>
      <c r="I215" s="1"/>
      <c r="J215" s="1"/>
      <c r="K215" s="1"/>
    </row>
    <row r="216" spans="1:11" ht="15.75" customHeight="1">
      <c r="A216" s="39"/>
      <c r="B216" s="23"/>
      <c r="C216" s="20"/>
      <c r="D216" s="21"/>
      <c r="E216" s="21"/>
      <c r="F216" s="36"/>
      <c r="G216" s="1"/>
      <c r="H216" s="1"/>
      <c r="I216" s="1"/>
      <c r="J216" s="1"/>
      <c r="K216" s="1"/>
    </row>
    <row r="217" spans="1:11" ht="15.75" customHeight="1">
      <c r="A217" s="39"/>
      <c r="B217" s="23"/>
      <c r="C217" s="20"/>
      <c r="D217" s="21"/>
      <c r="E217" s="21"/>
      <c r="F217" s="36"/>
      <c r="G217" s="1"/>
      <c r="H217" s="1"/>
      <c r="I217" s="1"/>
      <c r="J217" s="1"/>
      <c r="K217" s="1"/>
    </row>
    <row r="218" spans="1:11" ht="15.75" customHeight="1">
      <c r="A218" s="1"/>
      <c r="B218" s="23"/>
      <c r="C218" s="20"/>
      <c r="D218" s="21"/>
      <c r="E218" s="21"/>
      <c r="F218" s="36"/>
      <c r="G218" s="1"/>
      <c r="H218" s="1"/>
      <c r="I218" s="1"/>
      <c r="J218" s="1"/>
      <c r="K218" s="1"/>
    </row>
    <row r="219" spans="1:11" ht="15.75" customHeight="1">
      <c r="A219" s="1"/>
      <c r="B219" s="23"/>
      <c r="C219" s="20"/>
      <c r="D219" s="21"/>
      <c r="E219" s="21"/>
      <c r="F219" s="36"/>
      <c r="G219" s="1"/>
      <c r="H219" s="1"/>
      <c r="I219" s="1"/>
      <c r="J219" s="1"/>
      <c r="K219" s="1"/>
    </row>
    <row r="220" spans="1:11" ht="15.75" customHeight="1">
      <c r="A220" s="1"/>
      <c r="B220" s="23"/>
      <c r="C220" s="20"/>
      <c r="D220" s="21"/>
      <c r="E220" s="21"/>
      <c r="F220" s="36"/>
      <c r="G220" s="1"/>
      <c r="H220" s="1"/>
      <c r="I220" s="1"/>
      <c r="J220" s="1"/>
      <c r="K220" s="1"/>
    </row>
    <row r="221" spans="1:11" ht="15.75" customHeight="1">
      <c r="A221" s="1"/>
      <c r="B221" s="23"/>
      <c r="C221" s="20"/>
      <c r="D221" s="21"/>
      <c r="E221" s="21"/>
      <c r="F221" s="36"/>
      <c r="G221" s="1"/>
      <c r="H221" s="1"/>
      <c r="I221" s="1"/>
      <c r="J221" s="1"/>
      <c r="K221" s="1"/>
    </row>
    <row r="222" spans="1:11" ht="15.75" customHeight="1">
      <c r="A222" s="1"/>
      <c r="B222" s="23"/>
      <c r="C222" s="20"/>
      <c r="D222" s="21"/>
      <c r="E222" s="21"/>
      <c r="F222" s="36"/>
      <c r="G222" s="1"/>
      <c r="H222" s="1"/>
      <c r="I222" s="1"/>
      <c r="J222" s="1"/>
      <c r="K222" s="1"/>
    </row>
    <row r="223" spans="1:11" ht="15.75" customHeight="1">
      <c r="A223" s="1"/>
      <c r="B223" s="23"/>
      <c r="C223" s="20"/>
      <c r="D223" s="21"/>
      <c r="E223" s="21"/>
      <c r="F223" s="30"/>
      <c r="G223" s="1"/>
      <c r="H223" s="1"/>
      <c r="I223" s="1"/>
      <c r="J223" s="1"/>
      <c r="K223" s="1"/>
    </row>
    <row r="224" spans="1:11" ht="15.75" customHeight="1">
      <c r="A224" s="1"/>
      <c r="B224" s="23"/>
      <c r="C224" s="20"/>
      <c r="D224" s="21"/>
      <c r="E224" s="21"/>
      <c r="F224" s="30"/>
      <c r="G224" s="1"/>
      <c r="H224" s="1"/>
      <c r="I224" s="1"/>
      <c r="J224" s="1"/>
      <c r="K224" s="1"/>
    </row>
    <row r="225" spans="1:11" ht="15.75" customHeight="1">
      <c r="A225" s="1"/>
      <c r="B225" s="23"/>
      <c r="C225" s="20"/>
      <c r="D225" s="21"/>
      <c r="E225" s="21"/>
      <c r="F225" s="30"/>
      <c r="G225" s="1"/>
      <c r="H225" s="1"/>
      <c r="I225" s="1"/>
      <c r="J225" s="1"/>
      <c r="K225" s="1"/>
    </row>
    <row r="226" spans="1:11" ht="15.75" customHeight="1">
      <c r="A226" s="1"/>
      <c r="B226" s="106"/>
      <c r="C226" s="20"/>
      <c r="D226" s="21"/>
      <c r="E226" s="21"/>
      <c r="F226" s="30"/>
      <c r="G226" s="1"/>
      <c r="H226" s="1"/>
      <c r="I226" s="1"/>
      <c r="J226" s="1"/>
      <c r="K226" s="1"/>
    </row>
    <row r="227" spans="1:11" ht="15.75" customHeight="1">
      <c r="A227" s="1"/>
      <c r="B227" s="23"/>
      <c r="C227" s="20"/>
      <c r="D227" s="21"/>
      <c r="E227" s="21"/>
      <c r="F227" s="30"/>
      <c r="G227" s="1"/>
      <c r="H227" s="1"/>
      <c r="I227" s="1"/>
      <c r="J227" s="1"/>
      <c r="K227" s="1"/>
    </row>
    <row r="228" spans="1:11" ht="15.75" customHeight="1">
      <c r="A228" s="1"/>
      <c r="B228" s="23"/>
      <c r="C228" s="20"/>
      <c r="D228" s="21"/>
      <c r="E228" s="21"/>
      <c r="F228" s="30"/>
      <c r="G228" s="1"/>
      <c r="H228" s="1"/>
      <c r="I228" s="1"/>
      <c r="J228" s="1"/>
      <c r="K228" s="1"/>
    </row>
    <row r="229" spans="1:11" ht="15.75" customHeight="1">
      <c r="A229" s="1"/>
      <c r="B229" s="23"/>
      <c r="C229" s="20"/>
      <c r="D229" s="21"/>
      <c r="E229" s="21"/>
      <c r="F229" s="30"/>
      <c r="G229" s="1"/>
      <c r="H229" s="1"/>
      <c r="I229" s="1"/>
      <c r="J229" s="1"/>
      <c r="K229" s="1"/>
    </row>
    <row r="230" spans="1:11" ht="15.75" customHeight="1">
      <c r="A230" s="1"/>
      <c r="B230" s="23"/>
      <c r="C230" s="20"/>
      <c r="D230" s="21"/>
      <c r="E230" s="21"/>
      <c r="F230" s="30"/>
      <c r="G230" s="1"/>
      <c r="H230" s="1"/>
      <c r="I230" s="1"/>
      <c r="J230" s="1"/>
      <c r="K230" s="1"/>
    </row>
    <row r="231" spans="1:11" ht="15.75" customHeight="1">
      <c r="A231" s="1"/>
      <c r="B231" s="23"/>
      <c r="C231" s="20"/>
      <c r="D231" s="21"/>
      <c r="E231" s="21"/>
      <c r="F231" s="30"/>
      <c r="G231" s="1"/>
      <c r="H231" s="1"/>
      <c r="I231" s="1"/>
      <c r="J231" s="1"/>
      <c r="K231" s="1"/>
    </row>
    <row r="232" spans="1:11" ht="15.75" customHeight="1">
      <c r="A232" s="1"/>
      <c r="B232" s="23"/>
      <c r="C232" s="20"/>
      <c r="D232" s="21"/>
      <c r="E232" s="21"/>
      <c r="F232" s="30"/>
      <c r="G232" s="1"/>
      <c r="H232" s="1"/>
      <c r="I232" s="1"/>
      <c r="J232" s="1"/>
      <c r="K232" s="1"/>
    </row>
    <row r="233" spans="1:11" ht="15.75" customHeight="1">
      <c r="A233" s="1"/>
      <c r="B233" s="23"/>
      <c r="C233" s="20"/>
      <c r="D233" s="21"/>
      <c r="E233" s="21"/>
      <c r="F233" s="30"/>
      <c r="G233" s="1"/>
      <c r="H233" s="1"/>
      <c r="I233" s="1"/>
      <c r="J233" s="1"/>
      <c r="K233" s="1"/>
    </row>
    <row r="234" spans="1:11" ht="15.75" customHeight="1">
      <c r="A234" s="1"/>
      <c r="B234" s="23"/>
      <c r="C234" s="20"/>
      <c r="D234" s="21"/>
      <c r="E234" s="21"/>
      <c r="F234" s="30"/>
      <c r="G234" s="1"/>
      <c r="H234" s="1"/>
      <c r="I234" s="1"/>
      <c r="J234" s="1"/>
      <c r="K234" s="1"/>
    </row>
    <row r="235" spans="1:11" ht="15.75" customHeight="1">
      <c r="A235" s="1"/>
      <c r="B235" s="23"/>
      <c r="C235" s="20"/>
      <c r="D235" s="21"/>
      <c r="E235" s="21"/>
      <c r="F235" s="30"/>
      <c r="G235" s="1"/>
      <c r="H235" s="1"/>
      <c r="I235" s="1"/>
      <c r="J235" s="1"/>
      <c r="K235" s="1"/>
    </row>
    <row r="236" spans="1:11" ht="15.75" customHeight="1">
      <c r="A236" s="1"/>
      <c r="B236" s="106"/>
      <c r="C236" s="20"/>
      <c r="D236" s="21"/>
      <c r="E236" s="21"/>
      <c r="F236" s="30"/>
      <c r="G236" s="1"/>
      <c r="H236" s="1"/>
      <c r="I236" s="1"/>
      <c r="J236" s="1"/>
      <c r="K236" s="1"/>
    </row>
    <row r="237" spans="1:11" ht="15.75" customHeight="1">
      <c r="A237" s="1"/>
      <c r="B237" s="23"/>
      <c r="C237" s="20"/>
      <c r="D237" s="21"/>
      <c r="E237" s="21"/>
      <c r="F237" s="30"/>
      <c r="G237" s="1"/>
      <c r="H237" s="1"/>
      <c r="I237" s="1"/>
      <c r="J237" s="1"/>
      <c r="K237" s="1"/>
    </row>
    <row r="238" spans="1:11" ht="15.75" customHeight="1">
      <c r="A238" s="1"/>
      <c r="B238" s="23"/>
      <c r="C238" s="20"/>
      <c r="D238" s="21"/>
      <c r="E238" s="21"/>
      <c r="F238" s="30"/>
      <c r="G238" s="1"/>
      <c r="H238" s="1"/>
      <c r="I238" s="1"/>
      <c r="J238" s="1"/>
      <c r="K238" s="1"/>
    </row>
    <row r="239" spans="1:11" ht="15.75" customHeight="1">
      <c r="A239" s="1"/>
      <c r="B239" s="23"/>
      <c r="C239" s="20"/>
      <c r="D239" s="21"/>
      <c r="E239" s="21"/>
      <c r="F239" s="30"/>
      <c r="G239" s="1"/>
      <c r="H239" s="1"/>
      <c r="I239" s="1"/>
      <c r="J239" s="1"/>
      <c r="K239" s="1"/>
    </row>
    <row r="240" spans="1:11" ht="15.75" customHeight="1">
      <c r="A240" s="1"/>
      <c r="B240" s="23"/>
      <c r="C240" s="20"/>
      <c r="D240" s="21"/>
      <c r="E240" s="21"/>
      <c r="F240" s="30"/>
      <c r="G240" s="1"/>
      <c r="H240" s="1"/>
      <c r="I240" s="1"/>
      <c r="J240" s="1"/>
      <c r="K240" s="1"/>
    </row>
    <row r="241" spans="1:11" ht="15.75" customHeight="1">
      <c r="A241" s="1"/>
      <c r="B241" s="23"/>
      <c r="C241" s="20"/>
      <c r="D241" s="21"/>
      <c r="E241" s="21"/>
      <c r="F241" s="30"/>
      <c r="G241" s="1"/>
      <c r="H241" s="1"/>
      <c r="I241" s="1"/>
      <c r="J241" s="1"/>
      <c r="K241" s="1"/>
    </row>
    <row r="242" spans="1:11" ht="15.75" customHeight="1">
      <c r="A242" s="1"/>
      <c r="B242" s="23"/>
      <c r="C242" s="20"/>
      <c r="D242" s="21"/>
      <c r="E242" s="21"/>
      <c r="F242" s="30"/>
      <c r="G242" s="1"/>
      <c r="H242" s="1"/>
      <c r="I242" s="1"/>
      <c r="J242" s="1"/>
      <c r="K242" s="1"/>
    </row>
    <row r="243" spans="1:11" ht="15.75" customHeight="1">
      <c r="A243" s="39"/>
      <c r="B243" s="23"/>
      <c r="C243" s="20"/>
      <c r="D243" s="21"/>
      <c r="E243" s="21"/>
      <c r="F243" s="30"/>
      <c r="G243" s="1"/>
      <c r="H243" s="1"/>
      <c r="I243" s="1"/>
      <c r="J243" s="1"/>
      <c r="K243" s="1"/>
    </row>
    <row r="244" spans="1:11" ht="15.75" customHeight="1">
      <c r="A244" s="1"/>
      <c r="B244" s="23"/>
      <c r="C244" s="20"/>
      <c r="D244" s="21"/>
      <c r="E244" s="21"/>
      <c r="F244" s="30"/>
      <c r="G244" s="1"/>
      <c r="H244" s="1"/>
      <c r="I244" s="1"/>
      <c r="J244" s="1"/>
      <c r="K244" s="1"/>
    </row>
    <row r="245" spans="1:11" ht="15.75" customHeight="1">
      <c r="A245" s="40"/>
      <c r="B245" s="23"/>
      <c r="C245" s="20"/>
      <c r="D245" s="21"/>
      <c r="E245" s="21"/>
      <c r="F245" s="30"/>
      <c r="G245" s="1"/>
      <c r="H245" s="1"/>
      <c r="I245" s="1"/>
      <c r="J245" s="1"/>
      <c r="K245" s="1"/>
    </row>
    <row r="246" spans="1:11" ht="15.75" customHeight="1">
      <c r="A246" s="1"/>
      <c r="B246" s="23"/>
      <c r="C246" s="20"/>
      <c r="D246" s="21"/>
      <c r="E246" s="21"/>
      <c r="F246" s="30"/>
      <c r="G246" s="1"/>
      <c r="H246" s="1"/>
      <c r="I246" s="1"/>
      <c r="J246" s="1"/>
      <c r="K246" s="1"/>
    </row>
    <row r="247" spans="1:11" ht="15.75" customHeight="1">
      <c r="A247" s="1"/>
      <c r="B247" s="23"/>
      <c r="C247" s="20"/>
      <c r="D247" s="21"/>
      <c r="E247" s="21"/>
      <c r="F247" s="30"/>
      <c r="G247" s="1"/>
      <c r="H247" s="1"/>
      <c r="I247" s="1"/>
      <c r="J247" s="1"/>
      <c r="K247" s="1"/>
    </row>
    <row r="248" spans="1:11" ht="15.75" customHeight="1">
      <c r="A248" s="1"/>
      <c r="B248" s="23"/>
      <c r="C248" s="20"/>
      <c r="D248" s="21"/>
      <c r="E248" s="21"/>
      <c r="F248" s="30"/>
      <c r="G248" s="1"/>
      <c r="H248" s="1"/>
      <c r="I248" s="1"/>
      <c r="J248" s="1"/>
      <c r="K248" s="1"/>
    </row>
    <row r="249" spans="1:11" ht="15.75" customHeight="1">
      <c r="A249" s="1"/>
      <c r="B249" s="23"/>
      <c r="C249" s="20"/>
      <c r="D249" s="21"/>
      <c r="E249" s="21"/>
      <c r="F249" s="30"/>
      <c r="G249" s="1"/>
      <c r="H249" s="1"/>
      <c r="I249" s="1"/>
      <c r="J249" s="1"/>
      <c r="K249" s="1"/>
    </row>
    <row r="250" spans="1:11" ht="15.75" customHeight="1">
      <c r="A250" s="1"/>
      <c r="B250" s="23"/>
      <c r="C250" s="20"/>
      <c r="D250" s="21"/>
      <c r="E250" s="21"/>
      <c r="F250" s="30"/>
      <c r="G250" s="1"/>
      <c r="H250" s="1"/>
      <c r="I250" s="1"/>
      <c r="J250" s="1"/>
      <c r="K250" s="1"/>
    </row>
    <row r="251" spans="1:11" ht="15.75" customHeight="1">
      <c r="A251" s="1"/>
      <c r="B251" s="23"/>
      <c r="C251" s="20"/>
      <c r="D251" s="21"/>
      <c r="E251" s="21"/>
      <c r="F251" s="30"/>
      <c r="G251" s="1"/>
      <c r="H251" s="1"/>
      <c r="I251" s="1"/>
      <c r="J251" s="1"/>
      <c r="K251" s="1"/>
    </row>
    <row r="252" spans="1:11" ht="15.75" customHeight="1">
      <c r="A252" s="1"/>
      <c r="B252" s="23"/>
      <c r="C252" s="20"/>
      <c r="D252" s="21"/>
      <c r="E252" s="21"/>
      <c r="F252" s="30"/>
      <c r="G252" s="1"/>
      <c r="H252" s="1"/>
      <c r="I252" s="1"/>
      <c r="J252" s="1"/>
      <c r="K252" s="1"/>
    </row>
    <row r="253" spans="1:11" ht="15.75" customHeight="1">
      <c r="A253" s="1"/>
      <c r="B253" s="23"/>
      <c r="C253" s="20"/>
      <c r="D253" s="21"/>
      <c r="E253" s="21"/>
      <c r="F253" s="30"/>
      <c r="G253" s="1"/>
      <c r="H253" s="1"/>
      <c r="I253" s="1"/>
      <c r="J253" s="1"/>
      <c r="K253" s="1"/>
    </row>
    <row r="254" spans="1:11" ht="15.75" customHeight="1">
      <c r="A254" s="39"/>
      <c r="B254" s="23"/>
      <c r="C254" s="20"/>
      <c r="D254" s="21"/>
      <c r="E254" s="21"/>
      <c r="F254" s="30"/>
      <c r="G254" s="1"/>
      <c r="H254" s="1"/>
      <c r="I254" s="1"/>
      <c r="J254" s="1"/>
      <c r="K254" s="1"/>
    </row>
    <row r="255" spans="1:11" ht="15.75" customHeight="1"/>
    <row r="256" spans="1:1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1" width="28.7109375" customWidth="1"/>
    <col min="2" max="2" width="45.42578125" customWidth="1"/>
    <col min="3" max="3" width="30.42578125" customWidth="1"/>
    <col min="4" max="4" width="47.7109375" hidden="1" customWidth="1"/>
    <col min="5" max="5" width="23.28515625" customWidth="1"/>
    <col min="6" max="6" width="12.5703125" customWidth="1"/>
  </cols>
  <sheetData>
    <row r="1" spans="1:7" ht="15.75" customHeight="1">
      <c r="A1" s="118"/>
      <c r="B1" s="118"/>
      <c r="C1" s="118"/>
      <c r="D1" s="119" t="s">
        <v>524</v>
      </c>
      <c r="E1" s="118"/>
      <c r="F1" s="118"/>
      <c r="G1" s="118"/>
    </row>
    <row r="2" spans="1:7" ht="15.75" customHeight="1">
      <c r="A2" s="118" t="s">
        <v>0</v>
      </c>
      <c r="B2" s="118" t="s">
        <v>1</v>
      </c>
      <c r="C2" s="118"/>
      <c r="D2" s="118" t="s">
        <v>525</v>
      </c>
      <c r="E2" s="118" t="s">
        <v>526</v>
      </c>
      <c r="F2" s="118" t="s">
        <v>527</v>
      </c>
      <c r="G2" s="118" t="s">
        <v>528</v>
      </c>
    </row>
    <row r="3" spans="1:7" ht="15.75" customHeight="1">
      <c r="A3" s="120">
        <v>45337</v>
      </c>
      <c r="B3" s="118" t="s">
        <v>529</v>
      </c>
      <c r="C3" s="118"/>
      <c r="D3" s="121" t="s">
        <v>530</v>
      </c>
      <c r="E3" s="122">
        <v>2300</v>
      </c>
      <c r="F3" s="122">
        <v>2620</v>
      </c>
      <c r="G3" s="123">
        <v>0.1391</v>
      </c>
    </row>
    <row r="4" spans="1:7" ht="15.75" customHeight="1">
      <c r="A4" s="118"/>
      <c r="B4" s="118" t="s">
        <v>250</v>
      </c>
      <c r="C4" s="118"/>
      <c r="D4" s="121" t="s">
        <v>531</v>
      </c>
      <c r="E4" s="122">
        <v>1763</v>
      </c>
      <c r="F4" s="122">
        <v>1900</v>
      </c>
      <c r="G4" s="123">
        <v>7.7700000000000005E-2</v>
      </c>
    </row>
    <row r="5" spans="1:7" ht="15.75" customHeight="1">
      <c r="A5" s="120">
        <v>45339</v>
      </c>
      <c r="B5" s="124" t="s">
        <v>532</v>
      </c>
      <c r="C5" s="125"/>
      <c r="D5" s="121" t="s">
        <v>533</v>
      </c>
      <c r="E5" s="122">
        <v>1455</v>
      </c>
      <c r="F5" s="122">
        <v>3500</v>
      </c>
      <c r="G5" s="123">
        <v>1.4055</v>
      </c>
    </row>
    <row r="6" spans="1:7" ht="15.75" customHeight="1">
      <c r="A6" s="120">
        <v>45339</v>
      </c>
      <c r="B6" s="118" t="s">
        <v>534</v>
      </c>
      <c r="C6" s="118"/>
      <c r="D6" s="121" t="s">
        <v>535</v>
      </c>
      <c r="E6" s="122">
        <v>2673</v>
      </c>
      <c r="F6" s="122">
        <v>3519</v>
      </c>
      <c r="G6" s="123">
        <v>0.3165</v>
      </c>
    </row>
    <row r="7" spans="1:7" ht="15.75" customHeight="1">
      <c r="A7" s="120">
        <v>45339</v>
      </c>
      <c r="B7" s="121" t="s">
        <v>536</v>
      </c>
      <c r="C7" s="125"/>
      <c r="D7" s="121" t="s">
        <v>537</v>
      </c>
      <c r="E7" s="122">
        <v>279</v>
      </c>
      <c r="F7" s="122">
        <v>386</v>
      </c>
      <c r="G7" s="123">
        <v>0.38350000000000001</v>
      </c>
    </row>
    <row r="8" spans="1:7" ht="15.75" customHeight="1">
      <c r="A8" s="120">
        <v>45340</v>
      </c>
      <c r="B8" s="118" t="s">
        <v>538</v>
      </c>
      <c r="C8" s="118"/>
      <c r="D8" s="121" t="s">
        <v>539</v>
      </c>
      <c r="E8" s="122">
        <v>385</v>
      </c>
      <c r="F8" s="122">
        <v>661</v>
      </c>
      <c r="G8" s="123">
        <v>0.71689999999999998</v>
      </c>
    </row>
    <row r="9" spans="1:7" ht="15.75" customHeight="1">
      <c r="A9" s="120">
        <v>45340</v>
      </c>
      <c r="B9" s="118" t="s">
        <v>540</v>
      </c>
      <c r="C9" s="118"/>
      <c r="D9" s="121" t="s">
        <v>541</v>
      </c>
      <c r="E9" s="122">
        <v>362</v>
      </c>
      <c r="F9" s="122">
        <v>467</v>
      </c>
      <c r="G9" s="123">
        <v>0.29010000000000002</v>
      </c>
    </row>
    <row r="10" spans="1:7" ht="15.75" customHeight="1">
      <c r="A10" s="120">
        <v>45340</v>
      </c>
      <c r="B10" s="121" t="s">
        <v>542</v>
      </c>
      <c r="C10" s="125"/>
      <c r="D10" s="126" t="s">
        <v>543</v>
      </c>
      <c r="E10" s="122">
        <v>681</v>
      </c>
      <c r="F10" s="122">
        <v>1024</v>
      </c>
      <c r="G10" s="123">
        <v>0.50370000000000004</v>
      </c>
    </row>
    <row r="11" spans="1:7" ht="15.75" customHeight="1">
      <c r="A11" s="120">
        <v>45340</v>
      </c>
      <c r="B11" s="121" t="s">
        <v>544</v>
      </c>
      <c r="C11" s="125"/>
      <c r="D11" s="126" t="s">
        <v>545</v>
      </c>
      <c r="E11" s="122">
        <v>533</v>
      </c>
      <c r="F11" s="122">
        <v>616</v>
      </c>
      <c r="G11" s="123">
        <v>0.15570000000000001</v>
      </c>
    </row>
    <row r="12" spans="1:7" ht="15.75" customHeight="1">
      <c r="A12" s="120">
        <v>45340</v>
      </c>
      <c r="B12" s="118" t="s">
        <v>546</v>
      </c>
      <c r="C12" s="118"/>
      <c r="D12" s="121" t="s">
        <v>547</v>
      </c>
      <c r="E12" s="122">
        <v>107</v>
      </c>
      <c r="F12" s="122">
        <v>126</v>
      </c>
      <c r="G12" s="123">
        <v>0.17760000000000001</v>
      </c>
    </row>
    <row r="13" spans="1:7" ht="15.75" customHeight="1">
      <c r="A13" s="120">
        <v>45342</v>
      </c>
      <c r="B13" s="118" t="s">
        <v>548</v>
      </c>
      <c r="C13" s="118"/>
      <c r="D13" s="127" t="s">
        <v>549</v>
      </c>
      <c r="E13" s="122">
        <v>581</v>
      </c>
      <c r="F13" s="122">
        <v>1247</v>
      </c>
      <c r="G13" s="123">
        <v>1.1463000000000001</v>
      </c>
    </row>
    <row r="14" spans="1:7" ht="15.75" customHeight="1">
      <c r="A14" s="120">
        <v>45345</v>
      </c>
      <c r="B14" s="118" t="s">
        <v>550</v>
      </c>
      <c r="C14" s="118"/>
      <c r="D14" s="121" t="s">
        <v>551</v>
      </c>
      <c r="E14" s="122">
        <v>711</v>
      </c>
      <c r="F14" s="122">
        <v>942</v>
      </c>
      <c r="G14" s="123">
        <v>0.32490000000000002</v>
      </c>
    </row>
    <row r="15" spans="1:7" ht="15.75" customHeight="1">
      <c r="A15" s="120">
        <v>45348</v>
      </c>
      <c r="B15" s="118" t="s">
        <v>552</v>
      </c>
      <c r="C15" s="118"/>
      <c r="D15" s="121" t="s">
        <v>553</v>
      </c>
      <c r="E15" s="122">
        <v>722</v>
      </c>
      <c r="F15" s="122">
        <v>1211</v>
      </c>
      <c r="G15" s="123">
        <v>0.67730000000000001</v>
      </c>
    </row>
    <row r="16" spans="1:7" ht="15.75" customHeight="1">
      <c r="A16" s="128">
        <v>45357</v>
      </c>
      <c r="B16" s="118" t="s">
        <v>554</v>
      </c>
      <c r="C16" s="118"/>
      <c r="D16" s="121" t="s">
        <v>555</v>
      </c>
      <c r="E16" s="122">
        <v>360</v>
      </c>
      <c r="F16" s="122">
        <v>532</v>
      </c>
      <c r="G16" s="123">
        <v>0.4778</v>
      </c>
    </row>
    <row r="17" spans="1:7" ht="15.75" customHeight="1">
      <c r="A17" s="128">
        <v>45357</v>
      </c>
      <c r="B17" s="118" t="s">
        <v>33</v>
      </c>
      <c r="C17" s="118"/>
      <c r="D17" s="126" t="s">
        <v>556</v>
      </c>
      <c r="E17" s="122">
        <v>2926</v>
      </c>
      <c r="F17" s="122">
        <v>7400</v>
      </c>
      <c r="G17" s="123">
        <v>1.5289999999999999</v>
      </c>
    </row>
    <row r="18" spans="1:7" ht="15.75" customHeight="1">
      <c r="A18" s="128">
        <v>45360</v>
      </c>
      <c r="B18" s="118" t="s">
        <v>557</v>
      </c>
      <c r="C18" s="118"/>
      <c r="D18" s="126" t="s">
        <v>558</v>
      </c>
      <c r="E18" s="122">
        <v>575</v>
      </c>
      <c r="F18" s="122">
        <v>842</v>
      </c>
      <c r="G18" s="123">
        <v>0.46429999999999999</v>
      </c>
    </row>
    <row r="19" spans="1:7" ht="15.75" customHeight="1">
      <c r="A19" s="137" t="s">
        <v>559</v>
      </c>
      <c r="B19" s="138"/>
      <c r="C19" s="118"/>
      <c r="D19" s="126" t="s">
        <v>560</v>
      </c>
      <c r="E19" s="122">
        <v>16985</v>
      </c>
      <c r="F19" s="122">
        <v>19995</v>
      </c>
      <c r="G19" s="123">
        <v>0.1772</v>
      </c>
    </row>
    <row r="20" spans="1:7" ht="15.75" customHeight="1">
      <c r="A20" s="118"/>
      <c r="B20" s="129" t="s">
        <v>561</v>
      </c>
      <c r="C20" s="129"/>
      <c r="D20" s="126" t="s">
        <v>562</v>
      </c>
      <c r="E20" s="122">
        <v>39132</v>
      </c>
      <c r="F20" s="122">
        <v>44814.2</v>
      </c>
      <c r="G20" s="123">
        <v>0.1452</v>
      </c>
    </row>
    <row r="21" spans="1:7" ht="15.75" customHeight="1">
      <c r="A21" s="118"/>
      <c r="B21" s="121" t="s">
        <v>563</v>
      </c>
      <c r="C21" s="125"/>
      <c r="D21" s="126" t="s">
        <v>564</v>
      </c>
      <c r="E21" s="122">
        <v>311</v>
      </c>
      <c r="F21" s="130">
        <v>283.95</v>
      </c>
      <c r="G21" s="123">
        <v>-8.6999999999999994E-2</v>
      </c>
    </row>
    <row r="22" spans="1:7" ht="15.75" customHeight="1">
      <c r="A22" s="118"/>
      <c r="B22" s="118" t="s">
        <v>565</v>
      </c>
      <c r="C22" s="118"/>
      <c r="D22" s="121" t="s">
        <v>566</v>
      </c>
      <c r="E22" s="122">
        <v>2450</v>
      </c>
      <c r="F22" s="122">
        <v>3489</v>
      </c>
      <c r="G22" s="123">
        <v>0.42409999999999998</v>
      </c>
    </row>
    <row r="23" spans="1:7" ht="15.75" customHeight="1">
      <c r="A23" s="118"/>
      <c r="B23" s="121" t="s">
        <v>567</v>
      </c>
      <c r="C23" s="125"/>
      <c r="D23" s="126" t="s">
        <v>568</v>
      </c>
      <c r="E23" s="122">
        <v>883</v>
      </c>
      <c r="F23" s="122">
        <v>1205.7</v>
      </c>
      <c r="G23" s="123">
        <v>0.36549999999999999</v>
      </c>
    </row>
    <row r="24" spans="1:7" ht="15.75" customHeight="1">
      <c r="A24" s="118"/>
      <c r="B24" s="121" t="s">
        <v>569</v>
      </c>
      <c r="C24" s="125"/>
      <c r="D24" s="121" t="s">
        <v>570</v>
      </c>
      <c r="E24" s="122">
        <v>1930</v>
      </c>
      <c r="F24" s="130">
        <v>6700</v>
      </c>
      <c r="G24" s="123">
        <v>2.4714999999999998</v>
      </c>
    </row>
    <row r="25" spans="1:7" ht="15.75" customHeight="1">
      <c r="A25" s="120">
        <v>45368</v>
      </c>
      <c r="B25" s="118" t="s">
        <v>571</v>
      </c>
      <c r="C25" s="118"/>
      <c r="D25" s="126" t="s">
        <v>572</v>
      </c>
      <c r="E25" s="122">
        <v>17275</v>
      </c>
      <c r="F25" s="122">
        <v>20211</v>
      </c>
      <c r="G25" s="123">
        <v>0.17</v>
      </c>
    </row>
    <row r="26" spans="1:7" ht="15.75" customHeight="1">
      <c r="A26" s="120">
        <v>45371</v>
      </c>
      <c r="B26" s="121" t="s">
        <v>573</v>
      </c>
      <c r="C26" s="125"/>
      <c r="D26" s="121" t="s">
        <v>574</v>
      </c>
      <c r="E26" s="122">
        <v>869</v>
      </c>
      <c r="F26" s="122">
        <v>1483</v>
      </c>
      <c r="G26" s="123">
        <v>0.70660000000000001</v>
      </c>
    </row>
    <row r="27" spans="1:7" ht="15.75" customHeight="1">
      <c r="A27" s="118"/>
      <c r="B27" s="121" t="s">
        <v>575</v>
      </c>
      <c r="C27" s="125"/>
      <c r="D27" s="126" t="s">
        <v>576</v>
      </c>
      <c r="E27" s="122">
        <v>2261</v>
      </c>
      <c r="F27" s="122">
        <v>3000</v>
      </c>
      <c r="G27" s="123">
        <v>0.32679999999999998</v>
      </c>
    </row>
    <row r="28" spans="1:7" ht="15.75" customHeight="1">
      <c r="A28" s="118"/>
      <c r="B28" s="118" t="s">
        <v>310</v>
      </c>
      <c r="C28" s="118"/>
      <c r="D28" s="126" t="s">
        <v>577</v>
      </c>
      <c r="E28" s="122">
        <v>154</v>
      </c>
      <c r="F28" s="122">
        <v>320</v>
      </c>
      <c r="G28" s="123">
        <v>1.0779000000000001</v>
      </c>
    </row>
    <row r="29" spans="1:7" ht="15.75" customHeight="1">
      <c r="A29" s="118"/>
      <c r="B29" s="121" t="s">
        <v>578</v>
      </c>
      <c r="C29" s="125"/>
      <c r="D29" s="121" t="s">
        <v>579</v>
      </c>
      <c r="E29" s="122">
        <v>5550</v>
      </c>
      <c r="F29" s="130">
        <v>7259.35</v>
      </c>
      <c r="G29" s="123">
        <v>0.308</v>
      </c>
    </row>
    <row r="30" spans="1:7" ht="15.75" customHeight="1">
      <c r="A30" s="120">
        <v>45372</v>
      </c>
      <c r="B30" s="121" t="s">
        <v>580</v>
      </c>
      <c r="C30" s="125"/>
      <c r="D30" s="126" t="s">
        <v>581</v>
      </c>
      <c r="E30" s="122">
        <v>1592</v>
      </c>
      <c r="F30" s="122">
        <v>2016</v>
      </c>
      <c r="G30" s="123">
        <v>0.26629999999999998</v>
      </c>
    </row>
    <row r="31" spans="1:7" ht="15.75" customHeight="1">
      <c r="A31" s="118"/>
      <c r="B31" s="129" t="s">
        <v>582</v>
      </c>
      <c r="C31" s="129"/>
      <c r="D31" s="126" t="s">
        <v>583</v>
      </c>
      <c r="E31" s="122">
        <v>38228</v>
      </c>
      <c r="F31" s="122">
        <v>37790</v>
      </c>
      <c r="G31" s="123">
        <v>-1.15E-2</v>
      </c>
    </row>
    <row r="32" spans="1:7" ht="15.75" customHeight="1">
      <c r="A32" s="118"/>
      <c r="B32" s="121" t="s">
        <v>584</v>
      </c>
      <c r="C32" s="125"/>
      <c r="D32" s="126" t="s">
        <v>585</v>
      </c>
      <c r="E32" s="122">
        <v>1203</v>
      </c>
      <c r="F32" s="122">
        <v>2455</v>
      </c>
      <c r="G32" s="123">
        <v>1.0407</v>
      </c>
    </row>
    <row r="33" spans="1:7" ht="15.75" customHeight="1">
      <c r="A33" s="118"/>
      <c r="B33" s="121" t="s">
        <v>586</v>
      </c>
      <c r="C33" s="125"/>
      <c r="D33" s="126" t="s">
        <v>587</v>
      </c>
      <c r="E33" s="122">
        <v>575</v>
      </c>
      <c r="F33" s="122">
        <v>785</v>
      </c>
      <c r="G33" s="123">
        <v>0.36520000000000002</v>
      </c>
    </row>
    <row r="34" spans="1:7" ht="15.75" customHeight="1">
      <c r="A34" s="118"/>
      <c r="B34" s="118" t="s">
        <v>588</v>
      </c>
      <c r="C34" s="118"/>
      <c r="D34" s="126" t="s">
        <v>589</v>
      </c>
      <c r="E34" s="122">
        <v>3357</v>
      </c>
      <c r="F34" s="122">
        <v>3988</v>
      </c>
      <c r="G34" s="123">
        <v>0.188</v>
      </c>
    </row>
    <row r="35" spans="1:7" ht="15.75" customHeight="1">
      <c r="A35" s="118"/>
      <c r="B35" s="121" t="s">
        <v>590</v>
      </c>
      <c r="C35" s="125"/>
      <c r="D35" s="126" t="s">
        <v>591</v>
      </c>
      <c r="E35" s="122">
        <v>807</v>
      </c>
      <c r="F35" s="122">
        <v>1017</v>
      </c>
      <c r="G35" s="123">
        <v>0.26019999999999999</v>
      </c>
    </row>
    <row r="36" spans="1:7" ht="15.75" customHeight="1">
      <c r="A36" s="118"/>
      <c r="B36" s="121" t="s">
        <v>592</v>
      </c>
      <c r="C36" s="125"/>
      <c r="D36" s="126" t="s">
        <v>593</v>
      </c>
      <c r="E36" s="122">
        <v>675</v>
      </c>
      <c r="F36" s="122">
        <v>825</v>
      </c>
      <c r="G36" s="123">
        <v>0.22220000000000001</v>
      </c>
    </row>
    <row r="37" spans="1:7" ht="15.75" customHeight="1">
      <c r="A37" s="120">
        <v>45373</v>
      </c>
      <c r="B37" s="121" t="s">
        <v>594</v>
      </c>
      <c r="C37" s="125"/>
      <c r="D37" s="126" t="s">
        <v>595</v>
      </c>
      <c r="E37" s="122">
        <v>952</v>
      </c>
      <c r="F37" s="122">
        <v>1025</v>
      </c>
      <c r="G37" s="123">
        <v>7.6700000000000004E-2</v>
      </c>
    </row>
    <row r="38" spans="1:7" ht="15.75" customHeight="1">
      <c r="A38" s="118"/>
      <c r="B38" s="129" t="s">
        <v>596</v>
      </c>
      <c r="C38" s="129"/>
      <c r="D38" s="121" t="s">
        <v>597</v>
      </c>
      <c r="E38" s="122">
        <v>3116</v>
      </c>
      <c r="F38" s="122">
        <v>4647</v>
      </c>
      <c r="G38" s="123">
        <v>0.49130000000000001</v>
      </c>
    </row>
    <row r="39" spans="1:7" ht="15.75" customHeight="1">
      <c r="A39" s="118"/>
      <c r="B39" s="129" t="s">
        <v>598</v>
      </c>
      <c r="C39" s="129"/>
      <c r="D39" s="121" t="s">
        <v>599</v>
      </c>
      <c r="E39" s="122">
        <v>301</v>
      </c>
      <c r="F39" s="122">
        <v>430</v>
      </c>
      <c r="G39" s="123">
        <v>0.42859999999999998</v>
      </c>
    </row>
    <row r="40" spans="1:7" ht="15.75" customHeight="1">
      <c r="A40" s="118"/>
      <c r="B40" s="121" t="s">
        <v>600</v>
      </c>
      <c r="C40" s="125"/>
      <c r="D40" s="121" t="s">
        <v>601</v>
      </c>
      <c r="E40" s="122">
        <v>985</v>
      </c>
      <c r="F40" s="122">
        <v>3055</v>
      </c>
      <c r="G40" s="123">
        <v>2.1015000000000001</v>
      </c>
    </row>
    <row r="41" spans="1:7" ht="15.75" customHeight="1">
      <c r="A41" s="120">
        <v>45374</v>
      </c>
      <c r="B41" s="118" t="s">
        <v>602</v>
      </c>
      <c r="C41" s="118"/>
      <c r="D41" s="121" t="s">
        <v>603</v>
      </c>
      <c r="E41" s="122">
        <v>4110</v>
      </c>
      <c r="F41" s="122">
        <v>4283</v>
      </c>
      <c r="G41" s="123">
        <v>4.2099999999999999E-2</v>
      </c>
    </row>
    <row r="42" spans="1:7" ht="15.75" customHeight="1">
      <c r="A42" s="118"/>
      <c r="B42" s="121" t="s">
        <v>604</v>
      </c>
      <c r="C42" s="125"/>
      <c r="D42" s="126" t="s">
        <v>605</v>
      </c>
      <c r="E42" s="122">
        <v>393</v>
      </c>
      <c r="F42" s="122">
        <v>460</v>
      </c>
      <c r="G42" s="123">
        <v>0.17050000000000001</v>
      </c>
    </row>
    <row r="43" spans="1:7" ht="15.75" customHeight="1">
      <c r="A43" s="118"/>
      <c r="B43" s="121" t="s">
        <v>606</v>
      </c>
      <c r="C43" s="125"/>
      <c r="D43" s="126" t="s">
        <v>607</v>
      </c>
      <c r="E43" s="122">
        <v>335</v>
      </c>
      <c r="F43" s="122">
        <v>492</v>
      </c>
      <c r="G43" s="123">
        <v>0.46870000000000001</v>
      </c>
    </row>
    <row r="44" spans="1:7" ht="15.75" customHeight="1">
      <c r="A44" s="120">
        <v>45378</v>
      </c>
      <c r="B44" s="121" t="s">
        <v>608</v>
      </c>
      <c r="C44" s="125"/>
      <c r="D44" s="126" t="s">
        <v>609</v>
      </c>
      <c r="E44" s="122">
        <v>448</v>
      </c>
      <c r="F44" s="122">
        <v>628</v>
      </c>
      <c r="G44" s="123">
        <v>0.40179999999999999</v>
      </c>
    </row>
    <row r="45" spans="1:7" ht="15.75" customHeight="1">
      <c r="A45" s="118"/>
      <c r="B45" s="118" t="s">
        <v>610</v>
      </c>
      <c r="C45" s="118"/>
      <c r="D45" s="121" t="s">
        <v>611</v>
      </c>
      <c r="E45" s="122">
        <v>2098</v>
      </c>
      <c r="F45" s="122">
        <v>2412</v>
      </c>
      <c r="G45" s="123">
        <v>0.1497</v>
      </c>
    </row>
    <row r="46" spans="1:7" ht="15.75" customHeight="1">
      <c r="A46" s="120">
        <v>45379</v>
      </c>
      <c r="B46" s="118" t="s">
        <v>612</v>
      </c>
      <c r="C46" s="118"/>
      <c r="D46" s="121" t="s">
        <v>613</v>
      </c>
      <c r="E46" s="122">
        <v>2308</v>
      </c>
      <c r="F46" s="122">
        <v>3760</v>
      </c>
      <c r="G46" s="123">
        <v>0.62909999999999999</v>
      </c>
    </row>
    <row r="47" spans="1:7" ht="15.75" customHeight="1">
      <c r="A47" s="118"/>
      <c r="B47" s="118" t="s">
        <v>614</v>
      </c>
      <c r="C47" s="118"/>
      <c r="D47" s="126" t="s">
        <v>615</v>
      </c>
      <c r="E47" s="122">
        <v>473</v>
      </c>
      <c r="F47" s="122">
        <v>570</v>
      </c>
      <c r="G47" s="123">
        <v>0.2051</v>
      </c>
    </row>
    <row r="48" spans="1:7" ht="15.75" customHeight="1">
      <c r="A48" s="118"/>
      <c r="B48" s="129" t="s">
        <v>616</v>
      </c>
      <c r="C48" s="129"/>
      <c r="D48" s="121" t="s">
        <v>617</v>
      </c>
      <c r="E48" s="122">
        <v>478</v>
      </c>
      <c r="F48" s="122">
        <v>639</v>
      </c>
      <c r="G48" s="123">
        <v>0.33679999999999999</v>
      </c>
    </row>
    <row r="49" spans="1:7" ht="15.75" customHeight="1">
      <c r="A49" s="120">
        <v>45380</v>
      </c>
      <c r="B49" s="121" t="s">
        <v>618</v>
      </c>
      <c r="C49" s="125"/>
      <c r="D49" s="126" t="s">
        <v>619</v>
      </c>
      <c r="E49" s="122">
        <v>459</v>
      </c>
      <c r="F49" s="122">
        <v>1169</v>
      </c>
      <c r="G49" s="123">
        <v>1.5468</v>
      </c>
    </row>
    <row r="50" spans="1:7" ht="15.75" customHeight="1">
      <c r="A50" s="120">
        <v>45392</v>
      </c>
      <c r="B50" s="121" t="s">
        <v>620</v>
      </c>
      <c r="C50" s="125"/>
      <c r="D50" s="126" t="s">
        <v>621</v>
      </c>
      <c r="E50" s="122">
        <v>461</v>
      </c>
      <c r="F50" s="122">
        <v>931</v>
      </c>
      <c r="G50" s="123">
        <v>1.0195000000000001</v>
      </c>
    </row>
    <row r="51" spans="1:7" ht="15.75" customHeight="1">
      <c r="A51" s="118"/>
      <c r="B51" s="121" t="s">
        <v>622</v>
      </c>
      <c r="C51" s="125"/>
      <c r="D51" s="121" t="s">
        <v>623</v>
      </c>
      <c r="E51" s="122">
        <v>405</v>
      </c>
      <c r="F51" s="122">
        <v>629</v>
      </c>
      <c r="G51" s="123">
        <v>0.55310000000000004</v>
      </c>
    </row>
    <row r="52" spans="1:7" ht="15.75" customHeight="1">
      <c r="A52" s="118"/>
      <c r="B52" s="121" t="s">
        <v>624</v>
      </c>
      <c r="C52" s="125"/>
      <c r="D52" s="126" t="s">
        <v>625</v>
      </c>
      <c r="E52" s="122">
        <v>445</v>
      </c>
      <c r="F52" s="122">
        <v>1037</v>
      </c>
      <c r="G52" s="123">
        <v>1.3303</v>
      </c>
    </row>
    <row r="53" spans="1:7" ht="15.75" customHeight="1">
      <c r="A53" s="120">
        <v>45393</v>
      </c>
      <c r="B53" s="121" t="s">
        <v>626</v>
      </c>
      <c r="C53" s="125"/>
      <c r="D53" s="126" t="s">
        <v>627</v>
      </c>
      <c r="E53" s="122">
        <v>1228</v>
      </c>
      <c r="F53" s="122">
        <v>1872</v>
      </c>
      <c r="G53" s="123">
        <v>0.52439999999999998</v>
      </c>
    </row>
    <row r="54" spans="1:7" ht="15.75" customHeight="1">
      <c r="A54" s="118"/>
      <c r="B54" s="121" t="s">
        <v>628</v>
      </c>
      <c r="C54" s="125"/>
      <c r="D54" s="126" t="s">
        <v>629</v>
      </c>
      <c r="E54" s="122">
        <v>901</v>
      </c>
      <c r="F54" s="122">
        <v>1415</v>
      </c>
      <c r="G54" s="123">
        <v>0.57050000000000001</v>
      </c>
    </row>
    <row r="55" spans="1:7" ht="15.75" customHeight="1">
      <c r="A55" s="118"/>
      <c r="B55" s="121" t="s">
        <v>630</v>
      </c>
      <c r="C55" s="125"/>
      <c r="D55" s="126" t="s">
        <v>631</v>
      </c>
      <c r="E55" s="122">
        <v>164</v>
      </c>
      <c r="F55" s="122">
        <v>236</v>
      </c>
      <c r="G55" s="123">
        <v>0.439</v>
      </c>
    </row>
    <row r="56" spans="1:7" ht="15.75" customHeight="1">
      <c r="A56" s="118"/>
      <c r="B56" s="121" t="s">
        <v>632</v>
      </c>
      <c r="C56" s="125"/>
      <c r="D56" s="126" t="s">
        <v>633</v>
      </c>
      <c r="E56" s="122">
        <v>584</v>
      </c>
      <c r="F56" s="122">
        <v>870</v>
      </c>
      <c r="G56" s="123">
        <v>0.48970000000000002</v>
      </c>
    </row>
    <row r="57" spans="1:7" ht="15.75" customHeight="1">
      <c r="A57" s="118"/>
      <c r="B57" s="121" t="s">
        <v>634</v>
      </c>
      <c r="C57" s="125"/>
      <c r="D57" s="126" t="s">
        <v>635</v>
      </c>
      <c r="E57" s="122">
        <v>2378</v>
      </c>
      <c r="F57" s="122">
        <v>2162</v>
      </c>
      <c r="G57" s="123">
        <v>-9.0800000000000006E-2</v>
      </c>
    </row>
    <row r="58" spans="1:7" ht="15.75" customHeight="1">
      <c r="A58" s="120">
        <v>45401</v>
      </c>
      <c r="B58" s="127" t="s">
        <v>30</v>
      </c>
      <c r="C58" s="127"/>
      <c r="D58" s="126" t="s">
        <v>636</v>
      </c>
      <c r="E58" s="122">
        <v>1007</v>
      </c>
      <c r="F58" s="122">
        <v>1898</v>
      </c>
      <c r="G58" s="123">
        <v>0.88480000000000003</v>
      </c>
    </row>
    <row r="59" spans="1:7" ht="15.75" customHeight="1">
      <c r="A59" s="120">
        <v>45407</v>
      </c>
      <c r="B59" s="127" t="s">
        <v>637</v>
      </c>
      <c r="C59" s="127"/>
      <c r="D59" s="121" t="s">
        <v>638</v>
      </c>
      <c r="E59" s="122">
        <v>494</v>
      </c>
      <c r="F59" s="122">
        <v>2498.65</v>
      </c>
      <c r="G59" s="123">
        <v>4.0579999999999998</v>
      </c>
    </row>
    <row r="60" spans="1:7" ht="15.75" customHeight="1">
      <c r="A60" s="131">
        <v>45415</v>
      </c>
      <c r="B60" s="127" t="s">
        <v>16</v>
      </c>
      <c r="C60" s="127"/>
      <c r="D60" s="127" t="s">
        <v>639</v>
      </c>
      <c r="E60" s="122">
        <v>35</v>
      </c>
      <c r="F60" s="122">
        <v>84</v>
      </c>
      <c r="G60" s="123">
        <v>1.4</v>
      </c>
    </row>
    <row r="61" spans="1:7" ht="15.75" customHeight="1">
      <c r="A61" s="118"/>
      <c r="B61" s="127" t="s">
        <v>640</v>
      </c>
      <c r="C61" s="127"/>
      <c r="D61" s="121" t="s">
        <v>641</v>
      </c>
      <c r="E61" s="122">
        <v>1557</v>
      </c>
      <c r="F61" s="122">
        <v>2171</v>
      </c>
      <c r="G61" s="123">
        <v>0.39429999999999998</v>
      </c>
    </row>
    <row r="62" spans="1:7" ht="15.75" customHeight="1">
      <c r="A62" s="132">
        <v>45440</v>
      </c>
      <c r="B62" s="127" t="s">
        <v>642</v>
      </c>
      <c r="C62" s="127"/>
      <c r="D62" s="126" t="s">
        <v>643</v>
      </c>
      <c r="E62" s="122">
        <v>676</v>
      </c>
      <c r="F62" s="122">
        <v>911</v>
      </c>
      <c r="G62" s="123">
        <v>0.34760000000000002</v>
      </c>
    </row>
    <row r="63" spans="1:7" ht="15.75" customHeight="1">
      <c r="A63" s="132">
        <v>45440</v>
      </c>
      <c r="B63" s="127" t="s">
        <v>644</v>
      </c>
      <c r="C63" s="127"/>
      <c r="D63" s="126" t="s">
        <v>645</v>
      </c>
      <c r="E63" s="122">
        <v>1855</v>
      </c>
      <c r="F63" s="122">
        <v>2928</v>
      </c>
      <c r="G63" s="123">
        <v>0.57840000000000003</v>
      </c>
    </row>
    <row r="64" spans="1:7" ht="15.75" customHeight="1">
      <c r="A64" s="132">
        <v>45442</v>
      </c>
      <c r="B64" s="127" t="s">
        <v>303</v>
      </c>
      <c r="C64" s="127"/>
      <c r="D64" s="121" t="s">
        <v>646</v>
      </c>
      <c r="E64" s="122">
        <v>167</v>
      </c>
      <c r="F64" s="122">
        <v>267</v>
      </c>
      <c r="G64" s="123">
        <v>0.5988</v>
      </c>
    </row>
    <row r="65" spans="1:7" ht="15.75" customHeight="1">
      <c r="A65" s="128">
        <v>45448</v>
      </c>
      <c r="B65" s="127" t="s">
        <v>647</v>
      </c>
      <c r="C65" s="127"/>
      <c r="D65" s="121" t="s">
        <v>648</v>
      </c>
      <c r="E65" s="122">
        <v>740</v>
      </c>
      <c r="F65" s="122">
        <v>2013</v>
      </c>
      <c r="G65" s="123">
        <v>1.7202999999999999</v>
      </c>
    </row>
    <row r="66" spans="1:7" ht="15.75" customHeight="1">
      <c r="A66" s="120">
        <v>45489</v>
      </c>
      <c r="B66" s="127" t="s">
        <v>649</v>
      </c>
      <c r="C66" s="127"/>
      <c r="D66" s="121" t="s">
        <v>650</v>
      </c>
      <c r="E66" s="122">
        <v>466</v>
      </c>
      <c r="F66" s="122">
        <v>630</v>
      </c>
      <c r="G66" s="123">
        <v>0.35189999999999999</v>
      </c>
    </row>
    <row r="67" spans="1:7" ht="15.75" customHeight="1">
      <c r="A67" s="120">
        <v>45462</v>
      </c>
      <c r="B67" s="121" t="s">
        <v>651</v>
      </c>
      <c r="C67" s="125"/>
      <c r="D67" s="121" t="s">
        <v>652</v>
      </c>
      <c r="E67" s="122">
        <v>1780</v>
      </c>
      <c r="F67" s="122">
        <v>2632</v>
      </c>
      <c r="G67" s="123">
        <v>0.47870000000000001</v>
      </c>
    </row>
    <row r="68" spans="1:7" ht="15.75" customHeight="1">
      <c r="A68" s="120">
        <v>45461</v>
      </c>
      <c r="B68" s="127" t="s">
        <v>653</v>
      </c>
      <c r="C68" s="127"/>
      <c r="D68" s="121" t="s">
        <v>654</v>
      </c>
      <c r="E68" s="122">
        <v>207</v>
      </c>
      <c r="F68" s="122">
        <v>414</v>
      </c>
      <c r="G68" s="123">
        <v>1</v>
      </c>
    </row>
    <row r="69" spans="1:7" ht="15.75" customHeight="1">
      <c r="A69" s="120">
        <v>45492</v>
      </c>
      <c r="B69" s="127" t="s">
        <v>655</v>
      </c>
      <c r="C69" s="127"/>
      <c r="D69" s="127" t="s">
        <v>656</v>
      </c>
      <c r="E69" s="122">
        <v>1373</v>
      </c>
      <c r="F69" s="122">
        <v>1740.5</v>
      </c>
      <c r="G69" s="123">
        <v>0.26769999999999999</v>
      </c>
    </row>
    <row r="70" spans="1:7" ht="15.75" customHeight="1">
      <c r="A70" s="120">
        <v>45496</v>
      </c>
      <c r="B70" s="127" t="s">
        <v>657</v>
      </c>
      <c r="C70" s="127"/>
      <c r="D70" s="121" t="s">
        <v>658</v>
      </c>
      <c r="E70" s="122">
        <v>229</v>
      </c>
      <c r="F70" s="122">
        <v>335</v>
      </c>
      <c r="G70" s="123">
        <v>0.46289999999999998</v>
      </c>
    </row>
    <row r="71" spans="1:7" ht="15.75" customHeight="1">
      <c r="A71" s="120">
        <v>45502</v>
      </c>
      <c r="B71" s="127" t="s">
        <v>659</v>
      </c>
      <c r="C71" s="127"/>
      <c r="D71" s="127" t="s">
        <v>660</v>
      </c>
      <c r="E71" s="122">
        <v>671</v>
      </c>
      <c r="F71" s="122">
        <v>933</v>
      </c>
      <c r="G71" s="123">
        <v>0.39050000000000001</v>
      </c>
    </row>
    <row r="72" spans="1:7" ht="15.75" customHeight="1">
      <c r="A72" s="128">
        <v>45505</v>
      </c>
      <c r="B72" s="127" t="s">
        <v>661</v>
      </c>
      <c r="C72" s="127"/>
      <c r="D72" s="127" t="s">
        <v>662</v>
      </c>
      <c r="E72" s="122">
        <v>2484</v>
      </c>
      <c r="F72" s="122">
        <v>2563</v>
      </c>
      <c r="G72" s="123">
        <v>3.1800000000000002E-2</v>
      </c>
    </row>
    <row r="73" spans="1:7" ht="15.75" customHeight="1">
      <c r="A73" s="128">
        <v>45505</v>
      </c>
      <c r="B73" s="127" t="s">
        <v>663</v>
      </c>
      <c r="C73" s="127"/>
      <c r="D73" s="127" t="s">
        <v>664</v>
      </c>
      <c r="E73" s="122">
        <v>881</v>
      </c>
      <c r="F73" s="122">
        <v>1128</v>
      </c>
      <c r="G73" s="123">
        <v>0.28039999999999998</v>
      </c>
    </row>
    <row r="74" spans="1:7" ht="15.75" customHeight="1">
      <c r="A74" s="120">
        <v>45514</v>
      </c>
      <c r="B74" s="127" t="s">
        <v>665</v>
      </c>
      <c r="C74" s="127"/>
      <c r="D74" s="127" t="s">
        <v>666</v>
      </c>
      <c r="E74" s="122">
        <v>190</v>
      </c>
      <c r="F74" s="122">
        <v>262</v>
      </c>
      <c r="G74" s="123">
        <v>0.37890000000000001</v>
      </c>
    </row>
    <row r="75" spans="1:7" ht="15.75" customHeight="1">
      <c r="A75" s="120">
        <v>45519</v>
      </c>
      <c r="B75" s="121" t="s">
        <v>667</v>
      </c>
      <c r="C75" s="125"/>
      <c r="D75" s="121" t="s">
        <v>668</v>
      </c>
      <c r="E75" s="122">
        <v>518</v>
      </c>
      <c r="F75" s="122">
        <v>653</v>
      </c>
      <c r="G75" s="123">
        <v>0.2606</v>
      </c>
    </row>
    <row r="76" spans="1:7" ht="15.75" customHeight="1">
      <c r="A76" s="120">
        <v>45520</v>
      </c>
      <c r="B76" s="127" t="s">
        <v>669</v>
      </c>
      <c r="C76" s="127"/>
      <c r="D76" s="121" t="s">
        <v>670</v>
      </c>
      <c r="E76" s="122">
        <v>1123</v>
      </c>
      <c r="F76" s="122">
        <v>1199</v>
      </c>
      <c r="G76" s="123">
        <v>6.7699999999999996E-2</v>
      </c>
    </row>
    <row r="77" spans="1:7" ht="15.75" customHeight="1">
      <c r="A77" s="120">
        <v>45520</v>
      </c>
      <c r="B77" s="127" t="s">
        <v>671</v>
      </c>
      <c r="C77" s="127"/>
      <c r="D77" s="127" t="s">
        <v>672</v>
      </c>
      <c r="E77" s="122">
        <v>352</v>
      </c>
      <c r="F77" s="122">
        <v>370</v>
      </c>
      <c r="G77" s="123">
        <v>5.11E-2</v>
      </c>
    </row>
    <row r="78" spans="1:7" ht="15.75" customHeight="1">
      <c r="A78" s="120">
        <v>45531</v>
      </c>
      <c r="B78" s="127" t="s">
        <v>673</v>
      </c>
      <c r="C78" s="127"/>
      <c r="D78" s="121" t="s">
        <v>674</v>
      </c>
      <c r="E78" s="122">
        <v>923</v>
      </c>
      <c r="F78" s="122">
        <v>1467.85</v>
      </c>
      <c r="G78" s="123">
        <v>0.59030000000000005</v>
      </c>
    </row>
    <row r="79" spans="1:7" ht="15.75" customHeight="1">
      <c r="A79" s="120">
        <v>45545</v>
      </c>
      <c r="B79" s="127" t="s">
        <v>675</v>
      </c>
      <c r="C79" s="127"/>
      <c r="D79" s="121" t="s">
        <v>676</v>
      </c>
      <c r="E79" s="122">
        <v>381</v>
      </c>
      <c r="F79" s="122">
        <v>441</v>
      </c>
      <c r="G79" s="123">
        <v>0.1575</v>
      </c>
    </row>
    <row r="80" spans="1:7" ht="15.75" customHeight="1">
      <c r="A80" s="128">
        <v>45570</v>
      </c>
      <c r="B80" s="127" t="s">
        <v>677</v>
      </c>
      <c r="C80" s="127"/>
      <c r="D80" s="127" t="s">
        <v>678</v>
      </c>
      <c r="E80" s="122">
        <v>1206</v>
      </c>
      <c r="F80" s="122">
        <v>1572</v>
      </c>
      <c r="G80" s="123">
        <v>0.30349999999999999</v>
      </c>
    </row>
    <row r="81" spans="1:7" ht="15.75" customHeight="1">
      <c r="A81" s="128">
        <v>45568</v>
      </c>
      <c r="B81" s="127" t="s">
        <v>39</v>
      </c>
      <c r="C81" s="127"/>
      <c r="D81" s="127" t="s">
        <v>679</v>
      </c>
      <c r="E81" s="122">
        <v>2420</v>
      </c>
      <c r="F81" s="122">
        <v>3300</v>
      </c>
      <c r="G81" s="123">
        <v>0.36359999999999998</v>
      </c>
    </row>
    <row r="82" spans="1:7" ht="15.75" customHeight="1">
      <c r="A82" s="120">
        <v>45577</v>
      </c>
      <c r="B82" s="118" t="s">
        <v>680</v>
      </c>
      <c r="C82" s="118"/>
      <c r="D82" s="121" t="s">
        <v>681</v>
      </c>
      <c r="E82" s="122">
        <v>1281</v>
      </c>
      <c r="F82" s="122">
        <v>1747</v>
      </c>
      <c r="G82" s="123">
        <v>0.36380000000000001</v>
      </c>
    </row>
    <row r="83" spans="1:7" ht="15.75" customHeight="1">
      <c r="A83" s="120">
        <v>45589</v>
      </c>
      <c r="B83" s="127" t="s">
        <v>682</v>
      </c>
      <c r="C83" s="127"/>
      <c r="D83" s="127" t="s">
        <v>683</v>
      </c>
      <c r="E83" s="122">
        <v>1280</v>
      </c>
      <c r="F83" s="122">
        <v>1450</v>
      </c>
      <c r="G83" s="123">
        <v>0.1328</v>
      </c>
    </row>
    <row r="84" spans="1:7" ht="15.75" customHeight="1">
      <c r="A84" s="120">
        <v>45595</v>
      </c>
      <c r="B84" s="127" t="s">
        <v>15</v>
      </c>
      <c r="C84" s="127"/>
      <c r="D84" s="126" t="s">
        <v>684</v>
      </c>
      <c r="E84" s="122">
        <v>2926</v>
      </c>
      <c r="F84" s="122">
        <v>3190</v>
      </c>
      <c r="G84" s="123">
        <v>9.0200000000000002E-2</v>
      </c>
    </row>
    <row r="85" spans="1:7" ht="15.75" customHeight="1">
      <c r="A85" s="128">
        <v>45602</v>
      </c>
      <c r="B85" s="127" t="s">
        <v>685</v>
      </c>
      <c r="C85" s="127"/>
      <c r="D85" s="126" t="s">
        <v>686</v>
      </c>
      <c r="E85" s="122">
        <v>510</v>
      </c>
      <c r="F85" s="122">
        <v>663</v>
      </c>
      <c r="G85" s="123">
        <v>0.3</v>
      </c>
    </row>
    <row r="86" spans="1:7" ht="15.75" customHeight="1">
      <c r="A86" s="128">
        <v>45604</v>
      </c>
      <c r="B86" s="127" t="s">
        <v>687</v>
      </c>
      <c r="C86" s="127"/>
      <c r="D86" s="126" t="s">
        <v>688</v>
      </c>
      <c r="E86" s="122">
        <v>278</v>
      </c>
      <c r="F86" s="122">
        <v>345</v>
      </c>
      <c r="G86" s="123">
        <v>0.24099999999999999</v>
      </c>
    </row>
    <row r="87" spans="1:7" ht="15.75" customHeight="1">
      <c r="A87" s="120">
        <v>45607</v>
      </c>
      <c r="B87" s="127" t="s">
        <v>529</v>
      </c>
      <c r="C87" s="127"/>
      <c r="D87" s="121" t="s">
        <v>689</v>
      </c>
      <c r="E87" s="122">
        <v>2314</v>
      </c>
      <c r="F87" s="122">
        <v>2900</v>
      </c>
      <c r="G87" s="123">
        <v>0.25319999999999998</v>
      </c>
    </row>
    <row r="88" spans="1:7" ht="15.75" customHeight="1">
      <c r="A88" s="120">
        <v>45616</v>
      </c>
      <c r="B88" s="127" t="s">
        <v>149</v>
      </c>
      <c r="C88" s="127"/>
      <c r="D88" s="121" t="s">
        <v>690</v>
      </c>
      <c r="E88" s="122">
        <v>1540</v>
      </c>
      <c r="F88" s="122">
        <v>2900</v>
      </c>
      <c r="G88" s="123">
        <v>0.8831</v>
      </c>
    </row>
    <row r="89" spans="1:7" ht="15.75" customHeight="1">
      <c r="A89" s="120">
        <v>45621</v>
      </c>
      <c r="B89" s="127" t="s">
        <v>691</v>
      </c>
      <c r="C89" s="127"/>
      <c r="D89" s="121" t="s">
        <v>692</v>
      </c>
      <c r="E89" s="122">
        <v>1979</v>
      </c>
      <c r="F89" s="122">
        <v>2600</v>
      </c>
      <c r="G89" s="123">
        <v>0.31380000000000002</v>
      </c>
    </row>
    <row r="90" spans="1:7" ht="15.75" customHeight="1">
      <c r="A90" s="120">
        <v>45626</v>
      </c>
      <c r="B90" s="127" t="s">
        <v>693</v>
      </c>
      <c r="C90" s="127"/>
      <c r="D90" s="121" t="s">
        <v>694</v>
      </c>
      <c r="E90" s="122">
        <v>207</v>
      </c>
      <c r="F90" s="122">
        <v>3000</v>
      </c>
      <c r="G90" s="123">
        <v>13.492800000000001</v>
      </c>
    </row>
    <row r="91" spans="1:7" ht="15.75" customHeight="1">
      <c r="A91" s="128">
        <v>45627</v>
      </c>
      <c r="B91" s="139" t="s">
        <v>695</v>
      </c>
      <c r="C91" s="138"/>
      <c r="D91" s="138"/>
      <c r="E91" s="122">
        <v>769</v>
      </c>
      <c r="F91" s="122">
        <v>1200</v>
      </c>
      <c r="G91" s="123">
        <v>0.2155</v>
      </c>
    </row>
    <row r="92" spans="1:7" ht="15.75" customHeight="1">
      <c r="A92" s="118"/>
      <c r="B92" s="118"/>
      <c r="C92" s="118"/>
      <c r="D92" s="133" t="s">
        <v>696</v>
      </c>
      <c r="E92" s="118"/>
      <c r="F92" s="118"/>
      <c r="G92" s="134"/>
    </row>
    <row r="93" spans="1:7" ht="15.75" customHeight="1">
      <c r="A93" s="118"/>
      <c r="B93" s="118"/>
      <c r="C93" s="118"/>
      <c r="D93" s="135" t="s">
        <v>697</v>
      </c>
      <c r="E93" s="118"/>
      <c r="F93" s="118"/>
      <c r="G93" s="118"/>
    </row>
    <row r="94" spans="1:7" ht="15.75" customHeight="1">
      <c r="A94" s="120">
        <v>45362</v>
      </c>
      <c r="B94" s="127" t="s">
        <v>698</v>
      </c>
      <c r="C94" s="127"/>
      <c r="D94" s="126" t="s">
        <v>699</v>
      </c>
      <c r="E94" s="122">
        <v>1100</v>
      </c>
      <c r="F94" s="122">
        <v>1337</v>
      </c>
      <c r="G94" s="136">
        <v>0.22</v>
      </c>
    </row>
    <row r="95" spans="1:7" ht="15.75" customHeight="1">
      <c r="A95" s="120">
        <v>45365</v>
      </c>
      <c r="B95" s="118" t="s">
        <v>700</v>
      </c>
      <c r="C95" s="118"/>
      <c r="D95" s="121" t="s">
        <v>701</v>
      </c>
      <c r="E95" s="122">
        <v>1057</v>
      </c>
      <c r="F95" s="122">
        <v>1550</v>
      </c>
      <c r="G95" s="136">
        <v>0.47</v>
      </c>
    </row>
    <row r="96" spans="1:7" ht="15.75" customHeight="1">
      <c r="A96" s="120">
        <v>45395</v>
      </c>
      <c r="B96" s="127" t="s">
        <v>702</v>
      </c>
      <c r="C96" s="127"/>
      <c r="D96" s="126" t="s">
        <v>703</v>
      </c>
      <c r="E96" s="122">
        <v>1344</v>
      </c>
      <c r="F96" s="122">
        <v>1464</v>
      </c>
      <c r="G96" s="136">
        <v>0.09</v>
      </c>
    </row>
    <row r="97" spans="1:7" ht="15.75" customHeight="1">
      <c r="A97" s="120">
        <v>45400</v>
      </c>
      <c r="B97" s="121" t="s">
        <v>704</v>
      </c>
      <c r="C97" s="125"/>
      <c r="D97" s="121" t="s">
        <v>705</v>
      </c>
      <c r="E97" s="122">
        <v>331</v>
      </c>
      <c r="F97" s="122">
        <v>420</v>
      </c>
      <c r="G97" s="136">
        <v>0.27</v>
      </c>
    </row>
    <row r="98" spans="1:7" ht="15.75" customHeight="1">
      <c r="A98" s="120">
        <v>45403</v>
      </c>
      <c r="B98" s="127" t="s">
        <v>680</v>
      </c>
      <c r="C98" s="127"/>
      <c r="D98" s="121" t="s">
        <v>706</v>
      </c>
      <c r="E98" s="122">
        <v>1927</v>
      </c>
      <c r="F98" s="122">
        <v>2227</v>
      </c>
      <c r="G98" s="136">
        <v>0.16</v>
      </c>
    </row>
    <row r="99" spans="1:7" ht="15.75" customHeight="1">
      <c r="A99" s="120">
        <v>45407</v>
      </c>
      <c r="B99" s="127" t="s">
        <v>707</v>
      </c>
      <c r="C99" s="127"/>
      <c r="D99" s="127" t="s">
        <v>708</v>
      </c>
      <c r="E99" s="122">
        <v>618</v>
      </c>
      <c r="F99" s="122">
        <v>653</v>
      </c>
      <c r="G99" s="136">
        <v>0.06</v>
      </c>
    </row>
    <row r="100" spans="1:7" ht="15.75" customHeight="1">
      <c r="A100" s="120">
        <v>45412</v>
      </c>
      <c r="B100" s="118" t="s">
        <v>13</v>
      </c>
      <c r="C100" s="118"/>
      <c r="D100" s="126" t="s">
        <v>709</v>
      </c>
      <c r="E100" s="122">
        <v>441</v>
      </c>
      <c r="F100" s="122">
        <v>480</v>
      </c>
      <c r="G100" s="136">
        <v>0.09</v>
      </c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9:B19"/>
    <mergeCell ref="B91:D91"/>
  </mergeCells>
  <hyperlinks>
    <hyperlink ref="D3" r:id="rId1" xr:uid="{00000000-0004-0000-0400-000000000000}"/>
    <hyperlink ref="D4" r:id="rId2" xr:uid="{00000000-0004-0000-0400-000001000000}"/>
    <hyperlink ref="B5" r:id="rId3" xr:uid="{00000000-0004-0000-0400-000002000000}"/>
    <hyperlink ref="D5" r:id="rId4" xr:uid="{00000000-0004-0000-0400-000003000000}"/>
    <hyperlink ref="D6" r:id="rId5" xr:uid="{00000000-0004-0000-0400-000004000000}"/>
    <hyperlink ref="B7" r:id="rId6" xr:uid="{00000000-0004-0000-0400-000005000000}"/>
    <hyperlink ref="D7" r:id="rId7" xr:uid="{00000000-0004-0000-0400-000006000000}"/>
    <hyperlink ref="D8" r:id="rId8" xr:uid="{00000000-0004-0000-0400-000007000000}"/>
    <hyperlink ref="D9" r:id="rId9" xr:uid="{00000000-0004-0000-0400-000008000000}"/>
    <hyperlink ref="B10" r:id="rId10" xr:uid="{00000000-0004-0000-0400-000009000000}"/>
    <hyperlink ref="D10" r:id="rId11" xr:uid="{00000000-0004-0000-0400-00000A000000}"/>
    <hyperlink ref="B11" r:id="rId12" xr:uid="{00000000-0004-0000-0400-00000B000000}"/>
    <hyperlink ref="D11" r:id="rId13" xr:uid="{00000000-0004-0000-0400-00000C000000}"/>
    <hyperlink ref="D12" r:id="rId14" xr:uid="{00000000-0004-0000-0400-00000D000000}"/>
    <hyperlink ref="D13" r:id="rId15" xr:uid="{00000000-0004-0000-0400-00000E000000}"/>
    <hyperlink ref="D14" r:id="rId16" xr:uid="{00000000-0004-0000-0400-00000F000000}"/>
    <hyperlink ref="D15" r:id="rId17" xr:uid="{00000000-0004-0000-0400-000010000000}"/>
    <hyperlink ref="D16" r:id="rId18" xr:uid="{00000000-0004-0000-0400-000011000000}"/>
    <hyperlink ref="D17" r:id="rId19" xr:uid="{00000000-0004-0000-0400-000012000000}"/>
    <hyperlink ref="D18" r:id="rId20" xr:uid="{00000000-0004-0000-0400-000013000000}"/>
    <hyperlink ref="D19" r:id="rId21" xr:uid="{00000000-0004-0000-0400-000014000000}"/>
    <hyperlink ref="D20" r:id="rId22" xr:uid="{00000000-0004-0000-0400-000015000000}"/>
    <hyperlink ref="B21" r:id="rId23" xr:uid="{00000000-0004-0000-0400-000016000000}"/>
    <hyperlink ref="D21" r:id="rId24" xr:uid="{00000000-0004-0000-0400-000017000000}"/>
    <hyperlink ref="D22" r:id="rId25" xr:uid="{00000000-0004-0000-0400-000018000000}"/>
    <hyperlink ref="B23" r:id="rId26" xr:uid="{00000000-0004-0000-0400-000019000000}"/>
    <hyperlink ref="D23" r:id="rId27" xr:uid="{00000000-0004-0000-0400-00001A000000}"/>
    <hyperlink ref="B24" r:id="rId28" xr:uid="{00000000-0004-0000-0400-00001B000000}"/>
    <hyperlink ref="D24" r:id="rId29" xr:uid="{00000000-0004-0000-0400-00001C000000}"/>
    <hyperlink ref="D25" r:id="rId30" xr:uid="{00000000-0004-0000-0400-00001D000000}"/>
    <hyperlink ref="B26" r:id="rId31" xr:uid="{00000000-0004-0000-0400-00001E000000}"/>
    <hyperlink ref="D26" r:id="rId32" xr:uid="{00000000-0004-0000-0400-00001F000000}"/>
    <hyperlink ref="B27" r:id="rId33" xr:uid="{00000000-0004-0000-0400-000020000000}"/>
    <hyperlink ref="D27" r:id="rId34" xr:uid="{00000000-0004-0000-0400-000021000000}"/>
    <hyperlink ref="D28" r:id="rId35" xr:uid="{00000000-0004-0000-0400-000022000000}"/>
    <hyperlink ref="B29" r:id="rId36" xr:uid="{00000000-0004-0000-0400-000023000000}"/>
    <hyperlink ref="D29" r:id="rId37" xr:uid="{00000000-0004-0000-0400-000024000000}"/>
    <hyperlink ref="B30" r:id="rId38" xr:uid="{00000000-0004-0000-0400-000025000000}"/>
    <hyperlink ref="D30" r:id="rId39" xr:uid="{00000000-0004-0000-0400-000026000000}"/>
    <hyperlink ref="D31" r:id="rId40" xr:uid="{00000000-0004-0000-0400-000027000000}"/>
    <hyperlink ref="B32" r:id="rId41" xr:uid="{00000000-0004-0000-0400-000028000000}"/>
    <hyperlink ref="D32" r:id="rId42" xr:uid="{00000000-0004-0000-0400-000029000000}"/>
    <hyperlink ref="B33" r:id="rId43" xr:uid="{00000000-0004-0000-0400-00002A000000}"/>
    <hyperlink ref="D33" r:id="rId44" xr:uid="{00000000-0004-0000-0400-00002B000000}"/>
    <hyperlink ref="D34" r:id="rId45" xr:uid="{00000000-0004-0000-0400-00002C000000}"/>
    <hyperlink ref="B35" r:id="rId46" xr:uid="{00000000-0004-0000-0400-00002D000000}"/>
    <hyperlink ref="D35" r:id="rId47" xr:uid="{00000000-0004-0000-0400-00002E000000}"/>
    <hyperlink ref="B36" r:id="rId48" xr:uid="{00000000-0004-0000-0400-00002F000000}"/>
    <hyperlink ref="D36" r:id="rId49" xr:uid="{00000000-0004-0000-0400-000030000000}"/>
    <hyperlink ref="B37" r:id="rId50" xr:uid="{00000000-0004-0000-0400-000031000000}"/>
    <hyperlink ref="D37" r:id="rId51" xr:uid="{00000000-0004-0000-0400-000032000000}"/>
    <hyperlink ref="D38" r:id="rId52" xr:uid="{00000000-0004-0000-0400-000033000000}"/>
    <hyperlink ref="D39" r:id="rId53" xr:uid="{00000000-0004-0000-0400-000034000000}"/>
    <hyperlink ref="B40" r:id="rId54" xr:uid="{00000000-0004-0000-0400-000035000000}"/>
    <hyperlink ref="D40" r:id="rId55" xr:uid="{00000000-0004-0000-0400-000036000000}"/>
    <hyperlink ref="D41" r:id="rId56" xr:uid="{00000000-0004-0000-0400-000037000000}"/>
    <hyperlink ref="B42" r:id="rId57" xr:uid="{00000000-0004-0000-0400-000038000000}"/>
    <hyperlink ref="D42" r:id="rId58" xr:uid="{00000000-0004-0000-0400-000039000000}"/>
    <hyperlink ref="B43" r:id="rId59" xr:uid="{00000000-0004-0000-0400-00003A000000}"/>
    <hyperlink ref="D43" r:id="rId60" xr:uid="{00000000-0004-0000-0400-00003B000000}"/>
    <hyperlink ref="B44" r:id="rId61" xr:uid="{00000000-0004-0000-0400-00003C000000}"/>
    <hyperlink ref="D44" r:id="rId62" xr:uid="{00000000-0004-0000-0400-00003D000000}"/>
    <hyperlink ref="D45" r:id="rId63" xr:uid="{00000000-0004-0000-0400-00003E000000}"/>
    <hyperlink ref="D46" r:id="rId64" xr:uid="{00000000-0004-0000-0400-00003F000000}"/>
    <hyperlink ref="D47" r:id="rId65" xr:uid="{00000000-0004-0000-0400-000040000000}"/>
    <hyperlink ref="D48" r:id="rId66" xr:uid="{00000000-0004-0000-0400-000041000000}"/>
    <hyperlink ref="B49" r:id="rId67" xr:uid="{00000000-0004-0000-0400-000042000000}"/>
    <hyperlink ref="D49" r:id="rId68" xr:uid="{00000000-0004-0000-0400-000043000000}"/>
    <hyperlink ref="B50" r:id="rId69" xr:uid="{00000000-0004-0000-0400-000044000000}"/>
    <hyperlink ref="D50" r:id="rId70" xr:uid="{00000000-0004-0000-0400-000045000000}"/>
    <hyperlink ref="B51" r:id="rId71" xr:uid="{00000000-0004-0000-0400-000046000000}"/>
    <hyperlink ref="D51" r:id="rId72" xr:uid="{00000000-0004-0000-0400-000047000000}"/>
    <hyperlink ref="B52" r:id="rId73" xr:uid="{00000000-0004-0000-0400-000048000000}"/>
    <hyperlink ref="D52" r:id="rId74" xr:uid="{00000000-0004-0000-0400-000049000000}"/>
    <hyperlink ref="B53" r:id="rId75" xr:uid="{00000000-0004-0000-0400-00004A000000}"/>
    <hyperlink ref="D53" r:id="rId76" xr:uid="{00000000-0004-0000-0400-00004B000000}"/>
    <hyperlink ref="B54" r:id="rId77" xr:uid="{00000000-0004-0000-0400-00004C000000}"/>
    <hyperlink ref="D54" r:id="rId78" xr:uid="{00000000-0004-0000-0400-00004D000000}"/>
    <hyperlink ref="B55" r:id="rId79" xr:uid="{00000000-0004-0000-0400-00004E000000}"/>
    <hyperlink ref="D55" r:id="rId80" xr:uid="{00000000-0004-0000-0400-00004F000000}"/>
    <hyperlink ref="B56" r:id="rId81" xr:uid="{00000000-0004-0000-0400-000050000000}"/>
    <hyperlink ref="D56" r:id="rId82" xr:uid="{00000000-0004-0000-0400-000051000000}"/>
    <hyperlink ref="B57" r:id="rId83" xr:uid="{00000000-0004-0000-0400-000052000000}"/>
    <hyperlink ref="D57" r:id="rId84" xr:uid="{00000000-0004-0000-0400-000053000000}"/>
    <hyperlink ref="D58" r:id="rId85" xr:uid="{00000000-0004-0000-0400-000054000000}"/>
    <hyperlink ref="D59" r:id="rId86" xr:uid="{00000000-0004-0000-0400-000055000000}"/>
    <hyperlink ref="D60" r:id="rId87" xr:uid="{00000000-0004-0000-0400-000056000000}"/>
    <hyperlink ref="D61" r:id="rId88" xr:uid="{00000000-0004-0000-0400-000057000000}"/>
    <hyperlink ref="D62" r:id="rId89" xr:uid="{00000000-0004-0000-0400-000058000000}"/>
    <hyperlink ref="D63" r:id="rId90" xr:uid="{00000000-0004-0000-0400-000059000000}"/>
    <hyperlink ref="D64" r:id="rId91" xr:uid="{00000000-0004-0000-0400-00005A000000}"/>
    <hyperlink ref="D65" r:id="rId92" xr:uid="{00000000-0004-0000-0400-00005B000000}"/>
    <hyperlink ref="D66" r:id="rId93" xr:uid="{00000000-0004-0000-0400-00005C000000}"/>
    <hyperlink ref="B67" r:id="rId94" xr:uid="{00000000-0004-0000-0400-00005D000000}"/>
    <hyperlink ref="D67" r:id="rId95" xr:uid="{00000000-0004-0000-0400-00005E000000}"/>
    <hyperlink ref="D68" r:id="rId96" xr:uid="{00000000-0004-0000-0400-00005F000000}"/>
    <hyperlink ref="D69" r:id="rId97" xr:uid="{00000000-0004-0000-0400-000060000000}"/>
    <hyperlink ref="D70" r:id="rId98" xr:uid="{00000000-0004-0000-0400-000061000000}"/>
    <hyperlink ref="D71" r:id="rId99" xr:uid="{00000000-0004-0000-0400-000062000000}"/>
    <hyperlink ref="D72" r:id="rId100" xr:uid="{00000000-0004-0000-0400-000063000000}"/>
    <hyperlink ref="D73" r:id="rId101" xr:uid="{00000000-0004-0000-0400-000064000000}"/>
    <hyperlink ref="D74" r:id="rId102" xr:uid="{00000000-0004-0000-0400-000065000000}"/>
    <hyperlink ref="B75" r:id="rId103" xr:uid="{00000000-0004-0000-0400-000066000000}"/>
    <hyperlink ref="D75" r:id="rId104" xr:uid="{00000000-0004-0000-0400-000067000000}"/>
    <hyperlink ref="D76" r:id="rId105" xr:uid="{00000000-0004-0000-0400-000068000000}"/>
    <hyperlink ref="D77" r:id="rId106" xr:uid="{00000000-0004-0000-0400-000069000000}"/>
    <hyperlink ref="D78" r:id="rId107" xr:uid="{00000000-0004-0000-0400-00006A000000}"/>
    <hyperlink ref="D79" r:id="rId108" xr:uid="{00000000-0004-0000-0400-00006B000000}"/>
    <hyperlink ref="D80" r:id="rId109" xr:uid="{00000000-0004-0000-0400-00006C000000}"/>
    <hyperlink ref="D81" r:id="rId110" xr:uid="{00000000-0004-0000-0400-00006D000000}"/>
    <hyperlink ref="D82" r:id="rId111" xr:uid="{00000000-0004-0000-0400-00006E000000}"/>
    <hyperlink ref="D83" r:id="rId112" xr:uid="{00000000-0004-0000-0400-00006F000000}"/>
    <hyperlink ref="D84" r:id="rId113" xr:uid="{00000000-0004-0000-0400-000070000000}"/>
    <hyperlink ref="D85" r:id="rId114" xr:uid="{00000000-0004-0000-0400-000071000000}"/>
    <hyperlink ref="D86" r:id="rId115" xr:uid="{00000000-0004-0000-0400-000072000000}"/>
    <hyperlink ref="D87" r:id="rId116" xr:uid="{00000000-0004-0000-0400-000073000000}"/>
    <hyperlink ref="D88" r:id="rId117" xr:uid="{00000000-0004-0000-0400-000074000000}"/>
    <hyperlink ref="D89" r:id="rId118" xr:uid="{00000000-0004-0000-0400-000075000000}"/>
    <hyperlink ref="D90" r:id="rId119" xr:uid="{00000000-0004-0000-0400-000076000000}"/>
    <hyperlink ref="D94" r:id="rId120" xr:uid="{00000000-0004-0000-0400-000077000000}"/>
    <hyperlink ref="D95" r:id="rId121" xr:uid="{00000000-0004-0000-0400-000078000000}"/>
    <hyperlink ref="D96" r:id="rId122" xr:uid="{00000000-0004-0000-0400-000079000000}"/>
    <hyperlink ref="B97" r:id="rId123" xr:uid="{00000000-0004-0000-0400-00007A000000}"/>
    <hyperlink ref="D97" r:id="rId124" xr:uid="{00000000-0004-0000-0400-00007B000000}"/>
    <hyperlink ref="D98" r:id="rId125" xr:uid="{00000000-0004-0000-0400-00007C000000}"/>
    <hyperlink ref="D99" r:id="rId126" xr:uid="{00000000-0004-0000-0400-00007D000000}"/>
    <hyperlink ref="D100" r:id="rId127" xr:uid="{00000000-0004-0000-0400-00007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 Singh</cp:lastModifiedBy>
  <dcterms:modified xsi:type="dcterms:W3CDTF">2026-05-11T12:22:23Z</dcterms:modified>
</cp:coreProperties>
</file>